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yectos\emf-kaizen-experiments\2026-ECMFA\RQ1\results\"/>
    </mc:Choice>
  </mc:AlternateContent>
  <xr:revisionPtr revIDLastSave="0" documentId="13_ncr:1_{E0B4BF95-A55B-4ED1-857B-C893FB9C270E}" xr6:coauthVersionLast="47" xr6:coauthVersionMax="47" xr10:uidLastSave="{00000000-0000-0000-0000-000000000000}"/>
  <bookViews>
    <workbookView xWindow="-110" yWindow="-110" windowWidth="19420" windowHeight="10420" tabRatio="783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correctness-by-task" sheetId="9" r:id="rId4"/>
    <sheet name="sizes-no-redundant" sheetId="10" r:id="rId5"/>
    <sheet name="sizes" sheetId="8" r:id="rId6"/>
    <sheet name="eval run tim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0" l="1"/>
  <c r="B22" i="10"/>
  <c r="B21" i="10"/>
  <c r="P17" i="10"/>
  <c r="O17" i="10"/>
  <c r="N17" i="10"/>
  <c r="M17" i="10"/>
  <c r="P14" i="10"/>
  <c r="O14" i="10"/>
  <c r="N14" i="10"/>
  <c r="M14" i="10"/>
  <c r="P11" i="10"/>
  <c r="P20" i="10" s="1"/>
  <c r="O11" i="10"/>
  <c r="N11" i="10"/>
  <c r="N20" i="10" s="1"/>
  <c r="M11" i="10"/>
  <c r="P8" i="10"/>
  <c r="O8" i="10"/>
  <c r="N8" i="10"/>
  <c r="M8" i="10"/>
  <c r="P5" i="10"/>
  <c r="O5" i="10"/>
  <c r="O20" i="10" s="1"/>
  <c r="N5" i="10"/>
  <c r="M5" i="10"/>
  <c r="P21" i="6"/>
  <c r="O21" i="6"/>
  <c r="N21" i="6"/>
  <c r="M21" i="6"/>
  <c r="P17" i="6"/>
  <c r="O17" i="6"/>
  <c r="N17" i="6"/>
  <c r="M17" i="6"/>
  <c r="P14" i="6"/>
  <c r="O14" i="6"/>
  <c r="N14" i="6"/>
  <c r="M14" i="6"/>
  <c r="P11" i="6"/>
  <c r="O11" i="6"/>
  <c r="N11" i="6"/>
  <c r="M11" i="6"/>
  <c r="P8" i="6"/>
  <c r="O8" i="6"/>
  <c r="N8" i="6"/>
  <c r="M8" i="6"/>
  <c r="P5" i="6"/>
  <c r="P20" i="6" s="1"/>
  <c r="O5" i="6"/>
  <c r="O20" i="6" s="1"/>
  <c r="N5" i="6"/>
  <c r="N20" i="6" s="1"/>
  <c r="M5" i="6"/>
  <c r="M20" i="6" s="1"/>
  <c r="O20" i="8"/>
  <c r="N20" i="8"/>
  <c r="P17" i="8"/>
  <c r="O17" i="8"/>
  <c r="N17" i="8"/>
  <c r="M17" i="8"/>
  <c r="P14" i="8"/>
  <c r="O14" i="8"/>
  <c r="N14" i="8"/>
  <c r="M14" i="8"/>
  <c r="P11" i="8"/>
  <c r="O11" i="8"/>
  <c r="N11" i="8"/>
  <c r="M11" i="8"/>
  <c r="M20" i="8" s="1"/>
  <c r="P8" i="8"/>
  <c r="O8" i="8"/>
  <c r="N8" i="8"/>
  <c r="M8" i="8"/>
  <c r="P5" i="8"/>
  <c r="P20" i="8" s="1"/>
  <c r="O5" i="8"/>
  <c r="N5" i="8"/>
  <c r="M5" i="8"/>
  <c r="P7" i="9"/>
  <c r="O7" i="9"/>
  <c r="N7" i="9"/>
  <c r="M7" i="9"/>
  <c r="P6" i="9"/>
  <c r="O6" i="9"/>
  <c r="N6" i="9"/>
  <c r="M6" i="9"/>
  <c r="P5" i="9"/>
  <c r="P8" i="9" s="1"/>
  <c r="O5" i="9"/>
  <c r="O8" i="9" s="1"/>
  <c r="N5" i="9"/>
  <c r="N8" i="9" s="1"/>
  <c r="M5" i="9"/>
  <c r="M8" i="9" s="1"/>
  <c r="D24" i="9"/>
  <c r="E24" i="9" s="1"/>
  <c r="D23" i="9"/>
  <c r="E23" i="9" s="1"/>
  <c r="D22" i="9"/>
  <c r="E22" i="9" s="1"/>
  <c r="N19" i="5"/>
  <c r="O19" i="5" s="1"/>
  <c r="N18" i="5"/>
  <c r="O18" i="5" s="1"/>
  <c r="N17" i="5"/>
  <c r="O17" i="5" s="1"/>
  <c r="N16" i="5"/>
  <c r="O16" i="5" s="1"/>
  <c r="N15" i="5"/>
  <c r="O15" i="5" s="1"/>
  <c r="N14" i="5"/>
  <c r="O14" i="5" s="1"/>
  <c r="N13" i="5"/>
  <c r="O13" i="5" s="1"/>
  <c r="N12" i="5"/>
  <c r="O12" i="5" s="1"/>
  <c r="N11" i="5"/>
  <c r="O11" i="5" s="1"/>
  <c r="N10" i="5"/>
  <c r="O10" i="5" s="1"/>
  <c r="N9" i="5"/>
  <c r="O9" i="5" s="1"/>
  <c r="O8" i="5"/>
  <c r="N8" i="5"/>
  <c r="N7" i="5"/>
  <c r="O7" i="5" s="1"/>
  <c r="N6" i="5"/>
  <c r="O6" i="5" s="1"/>
  <c r="N5" i="5"/>
  <c r="O5" i="5" s="1"/>
  <c r="N19" i="4"/>
  <c r="O19" i="4" s="1"/>
  <c r="N18" i="4"/>
  <c r="O18" i="4" s="1"/>
  <c r="N17" i="4"/>
  <c r="O17" i="4" s="1"/>
  <c r="N16" i="4"/>
  <c r="O16" i="4" s="1"/>
  <c r="N15" i="4"/>
  <c r="O15" i="4" s="1"/>
  <c r="N14" i="4"/>
  <c r="O14" i="4" s="1"/>
  <c r="N13" i="4"/>
  <c r="O13" i="4" s="1"/>
  <c r="N12" i="4"/>
  <c r="O12" i="4" s="1"/>
  <c r="N11" i="4"/>
  <c r="O11" i="4" s="1"/>
  <c r="N10" i="4"/>
  <c r="O10" i="4" s="1"/>
  <c r="N9" i="4"/>
  <c r="O9" i="4" s="1"/>
  <c r="N8" i="4"/>
  <c r="O8" i="4" s="1"/>
  <c r="N7" i="4"/>
  <c r="O7" i="4" s="1"/>
  <c r="N6" i="4"/>
  <c r="O6" i="4" s="1"/>
  <c r="N5" i="4"/>
  <c r="O5" i="4" s="1"/>
  <c r="P17" i="3"/>
  <c r="P18" i="3" s="1"/>
  <c r="O17" i="3"/>
  <c r="O18" i="3" s="1"/>
  <c r="N17" i="3"/>
  <c r="N18" i="3" s="1"/>
  <c r="M17" i="3"/>
  <c r="P14" i="3"/>
  <c r="P15" i="3" s="1"/>
  <c r="O14" i="3"/>
  <c r="O15" i="3" s="1"/>
  <c r="N14" i="3"/>
  <c r="N15" i="3" s="1"/>
  <c r="M14" i="3"/>
  <c r="P11" i="3"/>
  <c r="P12" i="3" s="1"/>
  <c r="O11" i="3"/>
  <c r="O12" i="3" s="1"/>
  <c r="N11" i="3"/>
  <c r="N12" i="3" s="1"/>
  <c r="M11" i="3"/>
  <c r="P8" i="3"/>
  <c r="P9" i="3" s="1"/>
  <c r="O8" i="3"/>
  <c r="O9" i="3" s="1"/>
  <c r="N8" i="3"/>
  <c r="N9" i="3" s="1"/>
  <c r="M8" i="3"/>
  <c r="P5" i="3"/>
  <c r="P6" i="3" s="1"/>
  <c r="O5" i="3"/>
  <c r="O6" i="3" s="1"/>
  <c r="N5" i="3"/>
  <c r="N6" i="3" s="1"/>
  <c r="M5" i="3"/>
  <c r="B21" i="8"/>
  <c r="B23" i="8"/>
  <c r="B22" i="8"/>
  <c r="F24" i="6"/>
  <c r="F23" i="6"/>
  <c r="F22" i="6"/>
  <c r="E23" i="3"/>
  <c r="F23" i="3" s="1"/>
  <c r="E24" i="3"/>
  <c r="F24" i="3" s="1"/>
  <c r="E25" i="3"/>
  <c r="F25" i="3" s="1"/>
  <c r="E22" i="3"/>
  <c r="F22" i="3" s="1"/>
  <c r="F24" i="4"/>
  <c r="G24" i="4" s="1"/>
  <c r="F23" i="4"/>
  <c r="G23" i="4" s="1"/>
  <c r="F22" i="4"/>
  <c r="G22" i="4" s="1"/>
  <c r="D23" i="5"/>
  <c r="E23" i="5" s="1"/>
  <c r="D24" i="5"/>
  <c r="E24" i="5" s="1"/>
  <c r="D22" i="5"/>
  <c r="E22" i="5" s="1"/>
  <c r="M20" i="10" l="1"/>
  <c r="Q17" i="3"/>
  <c r="M18" i="3"/>
  <c r="M15" i="3"/>
  <c r="Q14" i="3"/>
  <c r="M12" i="3"/>
  <c r="Q11" i="3"/>
  <c r="M9" i="3"/>
  <c r="Q8" i="3"/>
  <c r="Q5" i="3"/>
  <c r="M6" i="3"/>
</calcChain>
</file>

<file path=xl/sharedStrings.xml><?xml version="1.0" encoding="utf-8"?>
<sst xmlns="http://schemas.openxmlformats.org/spreadsheetml/2006/main" count="469" uniqueCount="76">
  <si>
    <t>Meta-models</t>
  </si>
  <si>
    <t>Ecore</t>
  </si>
  <si>
    <t>Wizards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</si>
  <si>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</si>
  <si>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</si>
  <si>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</si>
  <si>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</si>
  <si>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</si>
  <si>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</si>
  <si>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</si>
  <si>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</si>
  <si>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</si>
  <si>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</si>
  <si>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</si>
  <si>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</si>
  <si>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</si>
  <si>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</si>
  <si>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State machines</t>
  </si>
  <si>
    <t>domain-descriptive requests</t>
  </si>
  <si>
    <t>Process Models</t>
  </si>
  <si>
    <t>Mind-maps</t>
  </si>
  <si>
    <t>model0</t>
  </si>
  <si>
    <t>Description</t>
  </si>
  <si>
    <t>AI and LLMs for education</t>
  </si>
  <si>
    <t>Healthy living</t>
  </si>
  <si>
    <t>Baroque music</t>
  </si>
  <si>
    <t>empty traffic light SM</t>
  </si>
  <si>
    <t>media player SM</t>
  </si>
  <si>
    <t xml:space="preserve">A SM for an ATM </t>
  </si>
  <si>
    <t>Paper publication process</t>
  </si>
  <si>
    <t>CI/CD pipeline</t>
  </si>
  <si>
    <t>Order fullfillment</t>
  </si>
  <si>
    <t>Customise LLM requests</t>
  </si>
  <si>
    <t>Set up a user account</t>
  </si>
  <si>
    <t>Onboarding data collection</t>
  </si>
  <si>
    <t>Petri net metamodel</t>
  </si>
  <si>
    <t>Goal model metamodel</t>
  </si>
  <si>
    <t>Tourism metamodel</t>
  </si>
  <si>
    <t>LLM:</t>
  </si>
  <si>
    <t>Possible values</t>
  </si>
  <si>
    <t>OK</t>
  </si>
  <si>
    <t>Missing attribute</t>
  </si>
  <si>
    <t>Missing reference</t>
  </si>
  <si>
    <t>Has some elements repeated from the current model, unnecesarily</t>
  </si>
  <si>
    <t>Low fidelity</t>
  </si>
  <si>
    <t>Partial fidelity</t>
  </si>
  <si>
    <t>High fidelity</t>
  </si>
  <si>
    <t>time taken</t>
  </si>
  <si>
    <t>author:</t>
  </si>
  <si>
    <t>gpt-4.1-mini</t>
  </si>
  <si>
    <t>time is in seconds</t>
  </si>
  <si>
    <t>Has ALL the model repeated</t>
  </si>
  <si>
    <t>count</t>
  </si>
  <si>
    <t>percentage</t>
  </si>
  <si>
    <t>median</t>
  </si>
  <si>
    <t>min</t>
  </si>
  <si>
    <t>max</t>
  </si>
  <si>
    <t>average</t>
  </si>
  <si>
    <t>TOTAL</t>
  </si>
  <si>
    <t>COUNT</t>
  </si>
  <si>
    <t>PERCENTAGE</t>
  </si>
  <si>
    <t>SOME</t>
  </si>
  <si>
    <t>ALL</t>
  </si>
  <si>
    <t>low</t>
  </si>
  <si>
    <t>partial</t>
  </si>
  <si>
    <t>high</t>
  </si>
  <si>
    <t>model-based</t>
  </si>
  <si>
    <t>recommendation</t>
  </si>
  <si>
    <t>domain-descriptive</t>
  </si>
  <si>
    <t>total</t>
  </si>
  <si>
    <t>averages</t>
  </si>
  <si>
    <t>command</t>
  </si>
  <si>
    <t>model</t>
  </si>
  <si>
    <t>recomm</t>
  </si>
  <si>
    <t>domain</t>
  </si>
  <si>
    <t>Incorrect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</si>
</sst>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4" xfId="0" applyBorder="1" applyAlignment="1">
      <alignment horizontal="left"/>
    </xf>
    <xf numFmtId="0" fontId="2" fillId="0" borderId="13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" fillId="2" borderId="1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0" fillId="0" borderId="0" xfId="0" applyNumberFormat="1"/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topLeftCell="E1" zoomScaleNormal="100" workbookViewId="0">
      <selection activeCell="Q1" sqref="Q1:R1048576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1.26953125" customWidth="1"/>
  </cols>
  <sheetData>
    <row r="1" spans="1:17" x14ac:dyDescent="0.35">
      <c r="A1" t="s">
        <v>38</v>
      </c>
      <c r="C1" s="1" t="s">
        <v>49</v>
      </c>
    </row>
    <row r="2" spans="1:17" ht="15" thickBot="1" x14ac:dyDescent="0.4">
      <c r="A2" t="s">
        <v>48</v>
      </c>
    </row>
    <row r="3" spans="1:17" ht="15" thickBot="1" x14ac:dyDescent="0.4">
      <c r="D3" s="34" t="s">
        <v>8</v>
      </c>
      <c r="E3" s="35"/>
      <c r="F3" s="34" t="s">
        <v>9</v>
      </c>
      <c r="G3" s="35"/>
      <c r="H3" s="42" t="s">
        <v>11</v>
      </c>
      <c r="I3" s="43"/>
      <c r="J3" s="42" t="s">
        <v>18</v>
      </c>
      <c r="K3" s="43"/>
    </row>
    <row r="4" spans="1:17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17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>
        <v>1</v>
      </c>
      <c r="N4">
        <v>2</v>
      </c>
      <c r="O4">
        <v>3</v>
      </c>
      <c r="P4">
        <v>4</v>
      </c>
      <c r="Q4" t="s">
        <v>58</v>
      </c>
    </row>
    <row r="5" spans="1:17" ht="16.5" customHeight="1" x14ac:dyDescent="0.35">
      <c r="A5" s="38" t="s">
        <v>1</v>
      </c>
      <c r="B5" s="4" t="s">
        <v>21</v>
      </c>
      <c r="C5" s="8" t="s">
        <v>35</v>
      </c>
      <c r="D5" s="4">
        <v>1</v>
      </c>
      <c r="E5" s="12">
        <v>1</v>
      </c>
      <c r="F5" s="4">
        <v>1</v>
      </c>
      <c r="G5" s="12">
        <v>1</v>
      </c>
      <c r="H5" s="4">
        <v>1</v>
      </c>
      <c r="I5" s="4">
        <v>1</v>
      </c>
      <c r="J5" s="4">
        <v>1</v>
      </c>
      <c r="K5" s="4">
        <v>1</v>
      </c>
      <c r="L5" t="s">
        <v>52</v>
      </c>
      <c r="M5">
        <f>COUNTIF($D5:$K7,M4)</f>
        <v>23</v>
      </c>
      <c r="N5">
        <f t="shared" ref="N5:P5" si="0">COUNTIF($D5:$K7,N4)</f>
        <v>0</v>
      </c>
      <c r="O5">
        <f t="shared" si="0"/>
        <v>1</v>
      </c>
      <c r="P5">
        <f t="shared" si="0"/>
        <v>0</v>
      </c>
      <c r="Q5">
        <f>SUM(M5:P5)</f>
        <v>24</v>
      </c>
    </row>
    <row r="6" spans="1:17" ht="16.5" customHeight="1" x14ac:dyDescent="0.35">
      <c r="A6" s="32"/>
      <c r="B6" s="5" t="s">
        <v>3</v>
      </c>
      <c r="C6" s="9" t="s">
        <v>36</v>
      </c>
      <c r="D6" s="5">
        <v>1</v>
      </c>
      <c r="E6" s="13">
        <v>1</v>
      </c>
      <c r="F6" s="5">
        <v>1</v>
      </c>
      <c r="G6" s="13">
        <v>1</v>
      </c>
      <c r="H6" s="5">
        <v>1</v>
      </c>
      <c r="I6" s="5">
        <v>1</v>
      </c>
      <c r="J6" s="5">
        <v>1</v>
      </c>
      <c r="K6" s="5">
        <v>3</v>
      </c>
      <c r="L6" t="s">
        <v>53</v>
      </c>
      <c r="M6">
        <f>100*M5/24</f>
        <v>95.833333333333329</v>
      </c>
      <c r="N6">
        <f t="shared" ref="N6:P6" si="1">100*N5/24</f>
        <v>0</v>
      </c>
      <c r="O6">
        <f t="shared" si="1"/>
        <v>4.166666666666667</v>
      </c>
      <c r="P6">
        <f t="shared" si="1"/>
        <v>0</v>
      </c>
    </row>
    <row r="7" spans="1:17" ht="16.5" customHeight="1" thickBot="1" x14ac:dyDescent="0.5">
      <c r="A7" s="33"/>
      <c r="B7" s="6" t="s">
        <v>4</v>
      </c>
      <c r="C7" s="10" t="s">
        <v>37</v>
      </c>
      <c r="D7" s="6">
        <v>1</v>
      </c>
      <c r="E7" s="14">
        <v>1</v>
      </c>
      <c r="F7" s="6">
        <v>1</v>
      </c>
      <c r="G7" s="14">
        <v>1</v>
      </c>
      <c r="H7" s="6">
        <v>1</v>
      </c>
      <c r="I7" s="21">
        <v>1</v>
      </c>
      <c r="J7" s="21">
        <v>1</v>
      </c>
      <c r="K7" s="6">
        <v>1</v>
      </c>
    </row>
    <row r="8" spans="1:17" ht="16.5" customHeight="1" x14ac:dyDescent="0.35">
      <c r="A8" s="39" t="s">
        <v>20</v>
      </c>
      <c r="B8" s="4" t="s">
        <v>21</v>
      </c>
      <c r="C8" s="8" t="s">
        <v>23</v>
      </c>
      <c r="D8" s="4">
        <v>1</v>
      </c>
      <c r="E8" s="12">
        <v>1</v>
      </c>
      <c r="F8" s="4">
        <v>1</v>
      </c>
      <c r="G8" s="22">
        <v>1</v>
      </c>
      <c r="H8" s="4">
        <v>1</v>
      </c>
      <c r="I8" s="4">
        <v>1</v>
      </c>
      <c r="J8" s="4">
        <v>3</v>
      </c>
      <c r="K8" s="4">
        <v>1</v>
      </c>
      <c r="L8" t="s">
        <v>52</v>
      </c>
      <c r="M8">
        <f>COUNTIF($D8:$K10,M4)</f>
        <v>20</v>
      </c>
      <c r="N8">
        <f t="shared" ref="N8:P8" si="2">COUNTIF($D8:$K10,N4)</f>
        <v>0</v>
      </c>
      <c r="O8">
        <f t="shared" si="2"/>
        <v>4</v>
      </c>
      <c r="P8">
        <f t="shared" si="2"/>
        <v>0</v>
      </c>
      <c r="Q8">
        <f>SUM(M8:P8)</f>
        <v>24</v>
      </c>
    </row>
    <row r="9" spans="1:17" ht="16.5" customHeight="1" x14ac:dyDescent="0.35">
      <c r="A9" s="40"/>
      <c r="B9" s="5" t="s">
        <v>3</v>
      </c>
      <c r="C9" s="9" t="s">
        <v>24</v>
      </c>
      <c r="D9" s="5">
        <v>1</v>
      </c>
      <c r="E9" s="13">
        <v>1</v>
      </c>
      <c r="F9" s="5">
        <v>1</v>
      </c>
      <c r="G9" s="19">
        <v>1</v>
      </c>
      <c r="H9" s="5">
        <v>3</v>
      </c>
      <c r="I9" s="5">
        <v>3</v>
      </c>
      <c r="J9" s="5">
        <v>3</v>
      </c>
      <c r="K9" s="5">
        <v>1</v>
      </c>
      <c r="L9" t="s">
        <v>53</v>
      </c>
      <c r="M9">
        <f>100*M8/24</f>
        <v>83.333333333333329</v>
      </c>
      <c r="N9">
        <f t="shared" ref="N9:P9" si="3">100*N8/24</f>
        <v>0</v>
      </c>
      <c r="O9">
        <f t="shared" si="3"/>
        <v>16.666666666666668</v>
      </c>
      <c r="P9">
        <f t="shared" si="3"/>
        <v>0</v>
      </c>
    </row>
    <row r="10" spans="1:17" ht="16.5" customHeight="1" thickBot="1" x14ac:dyDescent="0.4">
      <c r="A10" s="41"/>
      <c r="B10" s="6" t="s">
        <v>4</v>
      </c>
      <c r="C10" s="10" t="s">
        <v>25</v>
      </c>
      <c r="D10" s="6">
        <v>1</v>
      </c>
      <c r="E10" s="14">
        <v>1</v>
      </c>
      <c r="F10" s="6">
        <v>1</v>
      </c>
      <c r="G10" s="23">
        <v>1</v>
      </c>
      <c r="H10" s="6">
        <v>1</v>
      </c>
      <c r="I10" s="6">
        <v>1</v>
      </c>
      <c r="J10" s="6">
        <v>1</v>
      </c>
      <c r="K10" s="6">
        <v>1</v>
      </c>
    </row>
    <row r="11" spans="1:17" ht="16.5" customHeight="1" x14ac:dyDescent="0.35">
      <c r="A11" s="38" t="s">
        <v>2</v>
      </c>
      <c r="B11" s="4" t="s">
        <v>21</v>
      </c>
      <c r="C11" s="8" t="s">
        <v>32</v>
      </c>
      <c r="D11" s="4">
        <v>3</v>
      </c>
      <c r="E11" s="12">
        <v>1</v>
      </c>
      <c r="F11" s="4">
        <v>1</v>
      </c>
      <c r="G11" s="12">
        <v>1</v>
      </c>
      <c r="H11" s="4">
        <v>1</v>
      </c>
      <c r="I11" s="4">
        <v>1</v>
      </c>
      <c r="J11" s="4">
        <v>1</v>
      </c>
      <c r="K11" s="4">
        <v>1</v>
      </c>
      <c r="L11" t="s">
        <v>52</v>
      </c>
      <c r="M11">
        <f>COUNTIF($D11:$K13,M4)</f>
        <v>19</v>
      </c>
      <c r="N11">
        <f t="shared" ref="N11:P11" si="4">COUNTIF($D11:$K13,N4)</f>
        <v>0</v>
      </c>
      <c r="O11">
        <f t="shared" si="4"/>
        <v>5</v>
      </c>
      <c r="P11">
        <f t="shared" si="4"/>
        <v>0</v>
      </c>
      <c r="Q11">
        <f>SUM(M11:P11)</f>
        <v>24</v>
      </c>
    </row>
    <row r="12" spans="1:17" ht="16.5" customHeight="1" x14ac:dyDescent="0.35">
      <c r="A12" s="32"/>
      <c r="B12" s="5" t="s">
        <v>3</v>
      </c>
      <c r="C12" s="9" t="s">
        <v>33</v>
      </c>
      <c r="D12" s="5">
        <v>1</v>
      </c>
      <c r="E12" s="15">
        <v>1</v>
      </c>
      <c r="F12" s="5">
        <v>1</v>
      </c>
      <c r="G12" s="13">
        <v>1</v>
      </c>
      <c r="H12" s="5">
        <v>1</v>
      </c>
      <c r="I12" s="5">
        <v>3</v>
      </c>
      <c r="J12" s="5">
        <v>1</v>
      </c>
      <c r="K12" s="5">
        <v>3</v>
      </c>
      <c r="L12" t="s">
        <v>53</v>
      </c>
      <c r="M12">
        <f>100*M11/24</f>
        <v>79.166666666666671</v>
      </c>
      <c r="N12">
        <f t="shared" ref="N12:P12" si="5">100*N11/24</f>
        <v>0</v>
      </c>
      <c r="O12">
        <f t="shared" si="5"/>
        <v>20.833333333333332</v>
      </c>
      <c r="P12">
        <f t="shared" si="5"/>
        <v>0</v>
      </c>
    </row>
    <row r="13" spans="1:17" ht="16.5" customHeight="1" thickBot="1" x14ac:dyDescent="0.4">
      <c r="A13" s="33"/>
      <c r="B13" s="6" t="s">
        <v>4</v>
      </c>
      <c r="C13" s="10" t="s">
        <v>34</v>
      </c>
      <c r="D13" s="6">
        <v>1</v>
      </c>
      <c r="E13" s="14">
        <v>1</v>
      </c>
      <c r="F13" s="6">
        <v>1</v>
      </c>
      <c r="G13" s="14">
        <v>1</v>
      </c>
      <c r="H13" s="6">
        <v>1</v>
      </c>
      <c r="I13" s="6">
        <v>1</v>
      </c>
      <c r="J13" s="6">
        <v>3</v>
      </c>
      <c r="K13" s="6">
        <v>3</v>
      </c>
    </row>
    <row r="14" spans="1:17" ht="16.5" customHeight="1" x14ac:dyDescent="0.35">
      <c r="A14" s="38" t="s">
        <v>17</v>
      </c>
      <c r="B14" s="4" t="s">
        <v>21</v>
      </c>
      <c r="C14" s="8" t="s">
        <v>26</v>
      </c>
      <c r="D14" s="4">
        <v>1</v>
      </c>
      <c r="E14" s="12">
        <v>1</v>
      </c>
      <c r="F14" s="4">
        <v>1</v>
      </c>
      <c r="G14" s="12">
        <v>1</v>
      </c>
      <c r="H14" s="4">
        <v>1</v>
      </c>
      <c r="I14" s="4">
        <v>1</v>
      </c>
      <c r="J14" s="4">
        <v>1</v>
      </c>
      <c r="K14" s="4">
        <v>1</v>
      </c>
      <c r="L14" t="s">
        <v>52</v>
      </c>
      <c r="M14">
        <f>COUNTIF($D14:$K16,M4)</f>
        <v>24</v>
      </c>
      <c r="N14">
        <f t="shared" ref="N14:P14" si="6">COUNTIF($D14:$K16,N4)</f>
        <v>0</v>
      </c>
      <c r="O14">
        <f t="shared" si="6"/>
        <v>0</v>
      </c>
      <c r="P14">
        <f t="shared" si="6"/>
        <v>0</v>
      </c>
      <c r="Q14">
        <f>SUM(M14:P14)</f>
        <v>24</v>
      </c>
    </row>
    <row r="15" spans="1:17" ht="16.5" customHeight="1" x14ac:dyDescent="0.35">
      <c r="A15" s="32"/>
      <c r="B15" s="5" t="s">
        <v>3</v>
      </c>
      <c r="C15" s="9" t="s">
        <v>27</v>
      </c>
      <c r="D15" s="5">
        <v>1</v>
      </c>
      <c r="E15" s="13">
        <v>1</v>
      </c>
      <c r="F15" s="5">
        <v>1</v>
      </c>
      <c r="G15" s="13">
        <v>1</v>
      </c>
      <c r="H15" s="5">
        <v>1</v>
      </c>
      <c r="I15" s="5">
        <v>1</v>
      </c>
      <c r="J15" s="5">
        <v>1</v>
      </c>
      <c r="K15" s="5">
        <v>1</v>
      </c>
      <c r="L15" t="s">
        <v>53</v>
      </c>
      <c r="M15">
        <f>100*M14/24</f>
        <v>100</v>
      </c>
      <c r="N15">
        <f t="shared" ref="N15:P15" si="7">100*N14/24</f>
        <v>0</v>
      </c>
      <c r="O15">
        <f t="shared" si="7"/>
        <v>0</v>
      </c>
      <c r="P15">
        <f t="shared" si="7"/>
        <v>0</v>
      </c>
    </row>
    <row r="16" spans="1:17" ht="16.5" customHeight="1" thickBot="1" x14ac:dyDescent="0.4">
      <c r="A16" s="33"/>
      <c r="B16" s="6" t="s">
        <v>4</v>
      </c>
      <c r="C16" s="10" t="s">
        <v>28</v>
      </c>
      <c r="D16" s="6">
        <v>1</v>
      </c>
      <c r="E16" s="14">
        <v>1</v>
      </c>
      <c r="F16" s="6">
        <v>1</v>
      </c>
      <c r="G16" s="14">
        <v>1</v>
      </c>
      <c r="H16" s="6">
        <v>1</v>
      </c>
      <c r="I16" s="6">
        <v>1</v>
      </c>
      <c r="J16" s="6">
        <v>1</v>
      </c>
      <c r="K16" s="6">
        <v>1</v>
      </c>
    </row>
    <row r="17" spans="1:17" ht="16.5" customHeight="1" x14ac:dyDescent="0.35">
      <c r="A17" s="38" t="s">
        <v>19</v>
      </c>
      <c r="B17" s="11" t="s">
        <v>21</v>
      </c>
      <c r="C17" s="20" t="s">
        <v>29</v>
      </c>
      <c r="D17" s="11">
        <v>1</v>
      </c>
      <c r="E17" s="16">
        <v>1</v>
      </c>
      <c r="F17" s="11">
        <v>1</v>
      </c>
      <c r="G17" s="16">
        <v>1</v>
      </c>
      <c r="H17" s="11">
        <v>1</v>
      </c>
      <c r="I17" s="11">
        <v>1</v>
      </c>
      <c r="J17" s="11">
        <v>1</v>
      </c>
      <c r="K17" s="11">
        <v>2</v>
      </c>
      <c r="L17" t="s">
        <v>52</v>
      </c>
      <c r="M17">
        <f>COUNTIF($D17:$K19,M4)</f>
        <v>22</v>
      </c>
      <c r="N17">
        <f t="shared" ref="N17:P17" si="8">COUNTIF($D17:$K19,N4)</f>
        <v>1</v>
      </c>
      <c r="O17">
        <f t="shared" si="8"/>
        <v>1</v>
      </c>
      <c r="P17">
        <f t="shared" si="8"/>
        <v>0</v>
      </c>
      <c r="Q17">
        <f>SUM(M17:P17)</f>
        <v>24</v>
      </c>
    </row>
    <row r="18" spans="1:17" ht="16.5" customHeight="1" x14ac:dyDescent="0.35">
      <c r="A18" s="32"/>
      <c r="B18" s="5" t="s">
        <v>3</v>
      </c>
      <c r="C18" s="9" t="s">
        <v>30</v>
      </c>
      <c r="D18" s="5">
        <v>1</v>
      </c>
      <c r="E18" s="13">
        <v>1</v>
      </c>
      <c r="F18" s="5">
        <v>1</v>
      </c>
      <c r="G18" s="13">
        <v>1</v>
      </c>
      <c r="H18" s="5">
        <v>1</v>
      </c>
      <c r="I18" s="5">
        <v>1</v>
      </c>
      <c r="J18" s="5">
        <v>1</v>
      </c>
      <c r="K18" s="5">
        <v>3</v>
      </c>
      <c r="L18" t="s">
        <v>53</v>
      </c>
      <c r="M18">
        <f>100*M17/24</f>
        <v>91.666666666666671</v>
      </c>
      <c r="N18">
        <f t="shared" ref="N18:P18" si="9">100*N17/24</f>
        <v>4.166666666666667</v>
      </c>
      <c r="O18">
        <f t="shared" si="9"/>
        <v>4.166666666666667</v>
      </c>
      <c r="P18">
        <f t="shared" si="9"/>
        <v>0</v>
      </c>
    </row>
    <row r="19" spans="1:17" ht="16.5" customHeight="1" thickBot="1" x14ac:dyDescent="0.4">
      <c r="A19" s="33"/>
      <c r="B19" s="6" t="s">
        <v>4</v>
      </c>
      <c r="C19" s="10" t="s">
        <v>31</v>
      </c>
      <c r="D19" s="6">
        <v>1</v>
      </c>
      <c r="E19" s="14">
        <v>1</v>
      </c>
      <c r="F19" s="6">
        <v>1</v>
      </c>
      <c r="G19" s="14">
        <v>1</v>
      </c>
      <c r="H19" s="6">
        <v>1</v>
      </c>
      <c r="I19" s="6">
        <v>1</v>
      </c>
      <c r="J19" s="6">
        <v>1</v>
      </c>
      <c r="K19" s="6">
        <v>1</v>
      </c>
    </row>
    <row r="21" spans="1:17" x14ac:dyDescent="0.35">
      <c r="E21" t="s">
        <v>52</v>
      </c>
      <c r="F21" t="s">
        <v>53</v>
      </c>
    </row>
    <row r="22" spans="1:17" x14ac:dyDescent="0.35">
      <c r="A22" t="s">
        <v>39</v>
      </c>
      <c r="B22">
        <v>1</v>
      </c>
      <c r="C22" s="1" t="s">
        <v>40</v>
      </c>
      <c r="E22">
        <f>COUNTIF(D$5:K$19,B22)</f>
        <v>108</v>
      </c>
      <c r="F22">
        <f>100*E22/(15*8)</f>
        <v>90</v>
      </c>
    </row>
    <row r="23" spans="1:17" x14ac:dyDescent="0.35">
      <c r="B23">
        <v>2</v>
      </c>
      <c r="C23" s="1" t="s">
        <v>41</v>
      </c>
      <c r="E23">
        <f t="shared" ref="E23:E25" si="10">COUNTIF(D$5:K$19,B23)</f>
        <v>1</v>
      </c>
      <c r="F23">
        <f t="shared" ref="F23:F25" si="11">100*E23/(15*8)</f>
        <v>0.83333333333333337</v>
      </c>
    </row>
    <row r="24" spans="1:17" x14ac:dyDescent="0.35">
      <c r="B24">
        <v>3</v>
      </c>
      <c r="C24" s="1" t="s">
        <v>42</v>
      </c>
      <c r="E24">
        <f t="shared" si="10"/>
        <v>11</v>
      </c>
      <c r="F24">
        <f t="shared" si="11"/>
        <v>9.1666666666666661</v>
      </c>
    </row>
    <row r="25" spans="1:17" x14ac:dyDescent="0.35">
      <c r="B25">
        <v>4</v>
      </c>
      <c r="C25" s="1" t="s">
        <v>75</v>
      </c>
      <c r="E25">
        <f t="shared" si="10"/>
        <v>0</v>
      </c>
      <c r="F25">
        <f t="shared" si="11"/>
        <v>0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zoomScale="85" zoomScaleNormal="85" workbookViewId="0">
      <selection activeCell="G7" sqref="G7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1.7265625" customWidth="1"/>
  </cols>
  <sheetData>
    <row r="1" spans="1:15" x14ac:dyDescent="0.35">
      <c r="A1" t="s">
        <v>38</v>
      </c>
      <c r="C1" s="1" t="s">
        <v>49</v>
      </c>
    </row>
    <row r="2" spans="1:15" ht="15" thickBot="1" x14ac:dyDescent="0.4"/>
    <row r="3" spans="1:15" ht="15" thickBot="1" x14ac:dyDescent="0.4">
      <c r="D3" s="34" t="s">
        <v>8</v>
      </c>
      <c r="E3" s="35"/>
      <c r="F3" s="34" t="s">
        <v>9</v>
      </c>
      <c r="G3" s="35"/>
      <c r="H3" s="36" t="s">
        <v>11</v>
      </c>
      <c r="I3" s="37"/>
      <c r="J3" s="37" t="s">
        <v>18</v>
      </c>
      <c r="K3" s="37"/>
    </row>
    <row r="4" spans="1:15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N4" s="27" t="s">
        <v>59</v>
      </c>
      <c r="O4" s="27" t="s">
        <v>60</v>
      </c>
    </row>
    <row r="5" spans="1:15" ht="16.5" customHeight="1" x14ac:dyDescent="0.35">
      <c r="A5" s="38" t="s">
        <v>1</v>
      </c>
      <c r="B5" s="4" t="s">
        <v>21</v>
      </c>
      <c r="C5" s="8" t="s">
        <v>35</v>
      </c>
      <c r="D5" s="4">
        <v>3</v>
      </c>
      <c r="E5" s="12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1">
        <v>1</v>
      </c>
      <c r="M5" t="s">
        <v>40</v>
      </c>
      <c r="N5">
        <f>COUNTIF(D$5:K$7,L5)</f>
        <v>23</v>
      </c>
      <c r="O5">
        <f>100*N5/24</f>
        <v>95.833333333333329</v>
      </c>
    </row>
    <row r="6" spans="1:15" ht="16.5" customHeight="1" x14ac:dyDescent="0.35">
      <c r="A6" s="32"/>
      <c r="B6" s="5" t="s">
        <v>3</v>
      </c>
      <c r="C6" s="9" t="s">
        <v>36</v>
      </c>
      <c r="D6" s="5">
        <v>1</v>
      </c>
      <c r="E6" s="13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1">
        <v>2</v>
      </c>
      <c r="M6" t="s">
        <v>61</v>
      </c>
      <c r="N6">
        <f t="shared" ref="N6:N7" si="0">COUNTIF(D$5:K$7,L6)</f>
        <v>0</v>
      </c>
      <c r="O6">
        <f t="shared" ref="O6:O19" si="1">100*N6/24</f>
        <v>0</v>
      </c>
    </row>
    <row r="7" spans="1:15" ht="16.5" customHeight="1" thickBot="1" x14ac:dyDescent="0.5">
      <c r="A7" s="33"/>
      <c r="B7" s="6" t="s">
        <v>4</v>
      </c>
      <c r="C7" s="10" t="s">
        <v>37</v>
      </c>
      <c r="D7" s="6">
        <v>1</v>
      </c>
      <c r="E7" s="14">
        <v>1</v>
      </c>
      <c r="F7" s="6">
        <v>1</v>
      </c>
      <c r="G7" s="6">
        <v>1</v>
      </c>
      <c r="H7" s="6">
        <v>1</v>
      </c>
      <c r="I7" s="21">
        <v>1</v>
      </c>
      <c r="J7" s="21">
        <v>1</v>
      </c>
      <c r="K7" s="6">
        <v>1</v>
      </c>
      <c r="L7" s="1">
        <v>3</v>
      </c>
      <c r="M7" t="s">
        <v>62</v>
      </c>
      <c r="N7">
        <f t="shared" si="0"/>
        <v>1</v>
      </c>
      <c r="O7">
        <f t="shared" si="1"/>
        <v>4.166666666666667</v>
      </c>
    </row>
    <row r="8" spans="1:15" ht="16.5" customHeight="1" x14ac:dyDescent="0.35">
      <c r="A8" s="39" t="s">
        <v>20</v>
      </c>
      <c r="B8" s="4" t="s">
        <v>21</v>
      </c>
      <c r="C8" s="8" t="s">
        <v>23</v>
      </c>
      <c r="D8" s="4">
        <v>1</v>
      </c>
      <c r="E8" s="12">
        <v>1</v>
      </c>
      <c r="F8" s="4">
        <v>1</v>
      </c>
      <c r="G8" s="24">
        <v>1</v>
      </c>
      <c r="H8" s="4">
        <v>1</v>
      </c>
      <c r="I8" s="4">
        <v>1</v>
      </c>
      <c r="J8" s="4">
        <v>1</v>
      </c>
      <c r="K8" s="4">
        <v>1</v>
      </c>
      <c r="L8" s="1">
        <v>1</v>
      </c>
      <c r="M8" t="s">
        <v>40</v>
      </c>
      <c r="N8">
        <f>COUNTIF(D$8:K$10,L8)</f>
        <v>24</v>
      </c>
      <c r="O8">
        <f t="shared" si="1"/>
        <v>100</v>
      </c>
    </row>
    <row r="9" spans="1:15" ht="16.5" customHeight="1" x14ac:dyDescent="0.35">
      <c r="A9" s="40"/>
      <c r="B9" s="5" t="s">
        <v>3</v>
      </c>
      <c r="C9" s="9" t="s">
        <v>24</v>
      </c>
      <c r="D9" s="5">
        <v>1</v>
      </c>
      <c r="E9" s="13">
        <v>1</v>
      </c>
      <c r="F9" s="5">
        <v>1</v>
      </c>
      <c r="G9" s="18">
        <v>1</v>
      </c>
      <c r="H9" s="5">
        <v>1</v>
      </c>
      <c r="I9" s="5">
        <v>1</v>
      </c>
      <c r="J9" s="5">
        <v>1</v>
      </c>
      <c r="K9" s="5">
        <v>1</v>
      </c>
      <c r="L9" s="1">
        <v>2</v>
      </c>
      <c r="M9" t="s">
        <v>61</v>
      </c>
      <c r="N9">
        <f t="shared" ref="N9:N10" si="2">COUNTIF(D$8:K$10,L9)</f>
        <v>0</v>
      </c>
      <c r="O9">
        <f t="shared" si="1"/>
        <v>0</v>
      </c>
    </row>
    <row r="10" spans="1:15" ht="16.5" customHeight="1" thickBot="1" x14ac:dyDescent="0.4">
      <c r="A10" s="41"/>
      <c r="B10" s="6" t="s">
        <v>4</v>
      </c>
      <c r="C10" s="10" t="s">
        <v>25</v>
      </c>
      <c r="D10" s="6">
        <v>1</v>
      </c>
      <c r="E10" s="14">
        <v>1</v>
      </c>
      <c r="F10" s="6">
        <v>1</v>
      </c>
      <c r="G10" s="25">
        <v>1</v>
      </c>
      <c r="H10" s="6">
        <v>1</v>
      </c>
      <c r="I10" s="6">
        <v>1</v>
      </c>
      <c r="J10" s="6">
        <v>1</v>
      </c>
      <c r="K10" s="6">
        <v>1</v>
      </c>
      <c r="L10" s="1">
        <v>3</v>
      </c>
      <c r="M10" t="s">
        <v>62</v>
      </c>
      <c r="N10">
        <f t="shared" si="2"/>
        <v>0</v>
      </c>
      <c r="O10">
        <f t="shared" si="1"/>
        <v>0</v>
      </c>
    </row>
    <row r="11" spans="1:15" ht="16.5" customHeight="1" x14ac:dyDescent="0.35">
      <c r="A11" s="38" t="s">
        <v>2</v>
      </c>
      <c r="B11" s="4" t="s">
        <v>21</v>
      </c>
      <c r="C11" s="8" t="s">
        <v>32</v>
      </c>
      <c r="D11" s="4">
        <v>1</v>
      </c>
      <c r="E11" s="12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1">
        <v>1</v>
      </c>
      <c r="M11" t="s">
        <v>40</v>
      </c>
      <c r="N11">
        <f>COUNTIF(D$11:K$13,L11)</f>
        <v>24</v>
      </c>
      <c r="O11">
        <f t="shared" si="1"/>
        <v>100</v>
      </c>
    </row>
    <row r="12" spans="1:15" ht="16.5" customHeight="1" x14ac:dyDescent="0.35">
      <c r="A12" s="32"/>
      <c r="B12" s="5" t="s">
        <v>3</v>
      </c>
      <c r="C12" s="9" t="s">
        <v>33</v>
      </c>
      <c r="D12" s="5">
        <v>1</v>
      </c>
      <c r="E12" s="1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1">
        <v>2</v>
      </c>
      <c r="M12" t="s">
        <v>61</v>
      </c>
      <c r="N12">
        <f t="shared" ref="N12:N13" si="3">COUNTIF(D$11:K$13,L12)</f>
        <v>0</v>
      </c>
      <c r="O12">
        <f t="shared" si="1"/>
        <v>0</v>
      </c>
    </row>
    <row r="13" spans="1:15" ht="16.5" customHeight="1" thickBot="1" x14ac:dyDescent="0.4">
      <c r="A13" s="33"/>
      <c r="B13" s="6" t="s">
        <v>4</v>
      </c>
      <c r="C13" s="10" t="s">
        <v>34</v>
      </c>
      <c r="D13" s="6">
        <v>1</v>
      </c>
      <c r="E13" s="14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1">
        <v>3</v>
      </c>
      <c r="M13" t="s">
        <v>62</v>
      </c>
      <c r="N13">
        <f t="shared" si="3"/>
        <v>0</v>
      </c>
      <c r="O13">
        <f t="shared" si="1"/>
        <v>0</v>
      </c>
    </row>
    <row r="14" spans="1:15" ht="16.5" customHeight="1" x14ac:dyDescent="0.35">
      <c r="A14" s="38" t="s">
        <v>17</v>
      </c>
      <c r="B14" s="4" t="s">
        <v>21</v>
      </c>
      <c r="C14" s="8" t="s">
        <v>26</v>
      </c>
      <c r="D14" s="4">
        <v>1</v>
      </c>
      <c r="E14" s="12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1">
        <v>1</v>
      </c>
      <c r="M14" t="s">
        <v>40</v>
      </c>
      <c r="N14">
        <f>COUNTIF(D$14:K$16,L14)</f>
        <v>24</v>
      </c>
      <c r="O14">
        <f t="shared" si="1"/>
        <v>100</v>
      </c>
    </row>
    <row r="15" spans="1:15" ht="16.5" customHeight="1" x14ac:dyDescent="0.35">
      <c r="A15" s="32"/>
      <c r="B15" s="5" t="s">
        <v>3</v>
      </c>
      <c r="C15" s="9" t="s">
        <v>27</v>
      </c>
      <c r="D15" s="5">
        <v>1</v>
      </c>
      <c r="E15" s="13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1">
        <v>2</v>
      </c>
      <c r="M15" t="s">
        <v>61</v>
      </c>
      <c r="N15">
        <f t="shared" ref="N15:N16" si="4">COUNTIF(D$14:K$16,L15)</f>
        <v>0</v>
      </c>
      <c r="O15">
        <f t="shared" si="1"/>
        <v>0</v>
      </c>
    </row>
    <row r="16" spans="1:15" ht="16.5" customHeight="1" thickBot="1" x14ac:dyDescent="0.4">
      <c r="A16" s="33"/>
      <c r="B16" s="6" t="s">
        <v>4</v>
      </c>
      <c r="C16" s="10" t="s">
        <v>28</v>
      </c>
      <c r="D16" s="6">
        <v>1</v>
      </c>
      <c r="E16" s="14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1">
        <v>3</v>
      </c>
      <c r="M16" t="s">
        <v>62</v>
      </c>
      <c r="N16">
        <f t="shared" si="4"/>
        <v>0</v>
      </c>
      <c r="O16">
        <f t="shared" si="1"/>
        <v>0</v>
      </c>
    </row>
    <row r="17" spans="1:15" ht="16.5" customHeight="1" x14ac:dyDescent="0.35">
      <c r="A17" s="31" t="s">
        <v>19</v>
      </c>
      <c r="B17" s="11" t="s">
        <v>21</v>
      </c>
      <c r="C17" s="20" t="s">
        <v>29</v>
      </c>
      <c r="D17" s="11">
        <v>3</v>
      </c>
      <c r="E17" s="16">
        <v>3</v>
      </c>
      <c r="F17" s="11">
        <v>1</v>
      </c>
      <c r="G17" s="11">
        <v>3</v>
      </c>
      <c r="H17" s="11">
        <v>1</v>
      </c>
      <c r="I17" s="11">
        <v>1</v>
      </c>
      <c r="J17" s="11">
        <v>1</v>
      </c>
      <c r="K17" s="11">
        <v>1</v>
      </c>
      <c r="L17" s="1">
        <v>1</v>
      </c>
      <c r="M17" t="s">
        <v>40</v>
      </c>
      <c r="N17">
        <f>COUNTIF(D$17:K$19,L17)</f>
        <v>21</v>
      </c>
      <c r="O17">
        <f t="shared" si="1"/>
        <v>87.5</v>
      </c>
    </row>
    <row r="18" spans="1:15" ht="16.5" customHeight="1" x14ac:dyDescent="0.35">
      <c r="A18" s="32"/>
      <c r="B18" s="5" t="s">
        <v>3</v>
      </c>
      <c r="C18" s="9" t="s">
        <v>30</v>
      </c>
      <c r="D18" s="5">
        <v>1</v>
      </c>
      <c r="E18" s="13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1">
        <v>2</v>
      </c>
      <c r="M18" t="s">
        <v>61</v>
      </c>
      <c r="N18">
        <f t="shared" ref="N18:N19" si="5">COUNTIF(D$17:K$19,L18)</f>
        <v>0</v>
      </c>
      <c r="O18">
        <f t="shared" si="1"/>
        <v>0</v>
      </c>
    </row>
    <row r="19" spans="1:15" ht="16.5" customHeight="1" thickBot="1" x14ac:dyDescent="0.4">
      <c r="A19" s="33"/>
      <c r="B19" s="6" t="s">
        <v>4</v>
      </c>
      <c r="C19" s="10" t="s">
        <v>31</v>
      </c>
      <c r="D19" s="6">
        <v>1</v>
      </c>
      <c r="E19" s="14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1">
        <v>3</v>
      </c>
      <c r="M19" t="s">
        <v>62</v>
      </c>
      <c r="N19">
        <f t="shared" si="5"/>
        <v>3</v>
      </c>
      <c r="O19">
        <f t="shared" si="1"/>
        <v>12.5</v>
      </c>
    </row>
    <row r="21" spans="1:15" x14ac:dyDescent="0.35">
      <c r="F21" t="s">
        <v>52</v>
      </c>
      <c r="G21" t="s">
        <v>53</v>
      </c>
    </row>
    <row r="22" spans="1:15" x14ac:dyDescent="0.35">
      <c r="A22" t="s">
        <v>39</v>
      </c>
      <c r="B22">
        <v>1</v>
      </c>
      <c r="C22" s="1" t="s">
        <v>40</v>
      </c>
      <c r="F22">
        <f>COUNTIF(D$5:K$19,B22)</f>
        <v>116</v>
      </c>
      <c r="G22">
        <f>100*F22/(15*8)</f>
        <v>96.666666666666671</v>
      </c>
    </row>
    <row r="23" spans="1:15" x14ac:dyDescent="0.35">
      <c r="B23">
        <v>2</v>
      </c>
      <c r="C23" s="1" t="s">
        <v>43</v>
      </c>
      <c r="F23">
        <f>COUNTIF(D$5:K$19,B23)</f>
        <v>0</v>
      </c>
      <c r="G23">
        <f t="shared" ref="G23:G24" si="6">100*F23/(15*8)</f>
        <v>0</v>
      </c>
    </row>
    <row r="24" spans="1:15" x14ac:dyDescent="0.35">
      <c r="B24">
        <v>3</v>
      </c>
      <c r="C24" s="1" t="s">
        <v>51</v>
      </c>
      <c r="F24">
        <f>COUNTIF(D$5:K$19,B24)</f>
        <v>4</v>
      </c>
      <c r="G24">
        <f t="shared" si="6"/>
        <v>3.3333333333333335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workbookViewId="0">
      <selection activeCell="A25" sqref="A25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0" customWidth="1"/>
  </cols>
  <sheetData>
    <row r="1" spans="1:15" x14ac:dyDescent="0.35">
      <c r="A1" t="s">
        <v>38</v>
      </c>
      <c r="C1" s="1" t="s">
        <v>49</v>
      </c>
    </row>
    <row r="2" spans="1:15" ht="15" thickBot="1" x14ac:dyDescent="0.4"/>
    <row r="3" spans="1:15" ht="15" thickBot="1" x14ac:dyDescent="0.4">
      <c r="D3" s="34" t="s">
        <v>8</v>
      </c>
      <c r="E3" s="35"/>
      <c r="F3" s="34" t="s">
        <v>9</v>
      </c>
      <c r="G3" s="35"/>
      <c r="H3" s="42" t="s">
        <v>11</v>
      </c>
      <c r="I3" s="43"/>
      <c r="J3" s="42" t="s">
        <v>18</v>
      </c>
      <c r="K3" s="43"/>
    </row>
    <row r="4" spans="1:15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N4" s="27" t="s">
        <v>52</v>
      </c>
      <c r="O4" s="27" t="s">
        <v>53</v>
      </c>
    </row>
    <row r="5" spans="1:15" ht="16.5" customHeight="1" x14ac:dyDescent="0.35">
      <c r="A5" s="38" t="s">
        <v>1</v>
      </c>
      <c r="B5" s="4" t="s">
        <v>21</v>
      </c>
      <c r="C5" s="8" t="s">
        <v>35</v>
      </c>
      <c r="D5" s="4">
        <v>3</v>
      </c>
      <c r="E5" s="12">
        <v>3</v>
      </c>
      <c r="F5" s="4">
        <v>3</v>
      </c>
      <c r="G5" s="4">
        <v>3</v>
      </c>
      <c r="H5" s="4">
        <v>3</v>
      </c>
      <c r="I5" s="4">
        <v>2</v>
      </c>
      <c r="J5" s="4">
        <v>2</v>
      </c>
      <c r="K5" s="4">
        <v>2</v>
      </c>
      <c r="L5" s="1">
        <v>1</v>
      </c>
      <c r="M5" t="s">
        <v>63</v>
      </c>
      <c r="N5">
        <f>COUNTIF(D$5:K$7,L5)</f>
        <v>0</v>
      </c>
      <c r="O5">
        <f>100*N5/24</f>
        <v>0</v>
      </c>
    </row>
    <row r="6" spans="1:15" ht="16.5" customHeight="1" x14ac:dyDescent="0.35">
      <c r="A6" s="32"/>
      <c r="B6" s="5" t="s">
        <v>3</v>
      </c>
      <c r="C6" s="9" t="s">
        <v>36</v>
      </c>
      <c r="D6" s="5">
        <v>3</v>
      </c>
      <c r="E6" s="13">
        <v>3</v>
      </c>
      <c r="F6" s="5">
        <v>3</v>
      </c>
      <c r="G6" s="5">
        <v>2</v>
      </c>
      <c r="H6" s="5">
        <v>2</v>
      </c>
      <c r="I6" s="5">
        <v>2</v>
      </c>
      <c r="J6" s="5">
        <v>3</v>
      </c>
      <c r="K6" s="5">
        <v>3</v>
      </c>
      <c r="L6" s="1">
        <v>2</v>
      </c>
      <c r="M6" t="s">
        <v>64</v>
      </c>
      <c r="N6">
        <f t="shared" ref="N6:N7" si="0">COUNTIF(D$5:K$7,L6)</f>
        <v>8</v>
      </c>
      <c r="O6">
        <f t="shared" ref="O6:O19" si="1">100*N6/24</f>
        <v>33.333333333333336</v>
      </c>
    </row>
    <row r="7" spans="1:15" ht="16.5" customHeight="1" thickBot="1" x14ac:dyDescent="0.5">
      <c r="A7" s="33"/>
      <c r="B7" s="6" t="s">
        <v>4</v>
      </c>
      <c r="C7" s="10" t="s">
        <v>37</v>
      </c>
      <c r="D7" s="6">
        <v>3</v>
      </c>
      <c r="E7" s="14">
        <v>3</v>
      </c>
      <c r="F7" s="6">
        <v>3</v>
      </c>
      <c r="G7" s="6">
        <v>2</v>
      </c>
      <c r="H7" s="6">
        <v>2</v>
      </c>
      <c r="I7" s="21">
        <v>3</v>
      </c>
      <c r="J7" s="21">
        <v>3</v>
      </c>
      <c r="K7" s="6">
        <v>3</v>
      </c>
      <c r="L7" s="1">
        <v>3</v>
      </c>
      <c r="M7" t="s">
        <v>65</v>
      </c>
      <c r="N7">
        <f t="shared" si="0"/>
        <v>16</v>
      </c>
      <c r="O7">
        <f t="shared" si="1"/>
        <v>66.666666666666671</v>
      </c>
    </row>
    <row r="8" spans="1:15" ht="16.5" customHeight="1" x14ac:dyDescent="0.35">
      <c r="A8" s="39" t="s">
        <v>20</v>
      </c>
      <c r="B8" s="4" t="s">
        <v>21</v>
      </c>
      <c r="C8" s="8" t="s">
        <v>23</v>
      </c>
      <c r="D8" s="4">
        <v>3</v>
      </c>
      <c r="E8" s="12">
        <v>3</v>
      </c>
      <c r="F8" s="4">
        <v>3</v>
      </c>
      <c r="G8" s="24">
        <v>3</v>
      </c>
      <c r="H8" s="4">
        <v>3</v>
      </c>
      <c r="I8" s="4">
        <v>3</v>
      </c>
      <c r="J8" s="4">
        <v>3</v>
      </c>
      <c r="K8" s="4">
        <v>3</v>
      </c>
      <c r="L8" s="1">
        <v>1</v>
      </c>
      <c r="M8" t="s">
        <v>63</v>
      </c>
      <c r="N8">
        <f>COUNTIF(D$8:K$10,L8)</f>
        <v>0</v>
      </c>
      <c r="O8">
        <f t="shared" si="1"/>
        <v>0</v>
      </c>
    </row>
    <row r="9" spans="1:15" ht="16.5" customHeight="1" x14ac:dyDescent="0.35">
      <c r="A9" s="40"/>
      <c r="B9" s="5" t="s">
        <v>3</v>
      </c>
      <c r="C9" s="9" t="s">
        <v>24</v>
      </c>
      <c r="D9" s="5">
        <v>3</v>
      </c>
      <c r="E9" s="13">
        <v>3</v>
      </c>
      <c r="F9" s="5">
        <v>3</v>
      </c>
      <c r="G9" s="18">
        <v>2</v>
      </c>
      <c r="H9" s="5">
        <v>3</v>
      </c>
      <c r="I9" s="5">
        <v>3</v>
      </c>
      <c r="J9" s="5">
        <v>3</v>
      </c>
      <c r="K9" s="5">
        <v>3</v>
      </c>
      <c r="L9" s="1">
        <v>2</v>
      </c>
      <c r="M9" t="s">
        <v>64</v>
      </c>
      <c r="N9">
        <f t="shared" ref="N9:N10" si="2">COUNTIF(D$8:K$10,L9)</f>
        <v>2</v>
      </c>
      <c r="O9">
        <f t="shared" si="1"/>
        <v>8.3333333333333339</v>
      </c>
    </row>
    <row r="10" spans="1:15" ht="16.5" customHeight="1" thickBot="1" x14ac:dyDescent="0.4">
      <c r="A10" s="41"/>
      <c r="B10" s="6" t="s">
        <v>4</v>
      </c>
      <c r="C10" s="10" t="s">
        <v>25</v>
      </c>
      <c r="D10" s="6">
        <v>3</v>
      </c>
      <c r="E10" s="14">
        <v>3</v>
      </c>
      <c r="F10" s="6">
        <v>3</v>
      </c>
      <c r="G10" s="25">
        <v>3</v>
      </c>
      <c r="H10" s="6">
        <v>3</v>
      </c>
      <c r="I10" s="6">
        <v>3</v>
      </c>
      <c r="J10" s="6">
        <v>2</v>
      </c>
      <c r="K10" s="6">
        <v>3</v>
      </c>
      <c r="L10" s="1">
        <v>3</v>
      </c>
      <c r="M10" t="s">
        <v>65</v>
      </c>
      <c r="N10">
        <f t="shared" si="2"/>
        <v>22</v>
      </c>
      <c r="O10">
        <f t="shared" si="1"/>
        <v>91.666666666666671</v>
      </c>
    </row>
    <row r="11" spans="1:15" ht="16.5" customHeight="1" x14ac:dyDescent="0.35">
      <c r="A11" s="38" t="s">
        <v>2</v>
      </c>
      <c r="B11" s="4" t="s">
        <v>21</v>
      </c>
      <c r="C11" s="8" t="s">
        <v>32</v>
      </c>
      <c r="D11" s="4">
        <v>3</v>
      </c>
      <c r="E11" s="12">
        <v>3</v>
      </c>
      <c r="F11" s="4">
        <v>3</v>
      </c>
      <c r="G11" s="4">
        <v>3</v>
      </c>
      <c r="H11" s="4">
        <v>3</v>
      </c>
      <c r="I11" s="4">
        <v>3</v>
      </c>
      <c r="J11" s="4">
        <v>3</v>
      </c>
      <c r="K11" s="4">
        <v>3</v>
      </c>
      <c r="L11" s="1">
        <v>1</v>
      </c>
      <c r="M11" t="s">
        <v>63</v>
      </c>
      <c r="N11">
        <f>COUNTIF(D$11:K$13,L11)</f>
        <v>0</v>
      </c>
      <c r="O11">
        <f t="shared" si="1"/>
        <v>0</v>
      </c>
    </row>
    <row r="12" spans="1:15" ht="16.5" customHeight="1" x14ac:dyDescent="0.35">
      <c r="A12" s="32"/>
      <c r="B12" s="5" t="s">
        <v>3</v>
      </c>
      <c r="C12" s="9" t="s">
        <v>33</v>
      </c>
      <c r="D12" s="5">
        <v>3</v>
      </c>
      <c r="E12" s="15">
        <v>3</v>
      </c>
      <c r="F12" s="5">
        <v>3</v>
      </c>
      <c r="G12" s="5">
        <v>3</v>
      </c>
      <c r="H12" s="5">
        <v>3</v>
      </c>
      <c r="I12" s="5">
        <v>3</v>
      </c>
      <c r="J12" s="5">
        <v>3</v>
      </c>
      <c r="K12" s="5">
        <v>3</v>
      </c>
      <c r="L12" s="1">
        <v>2</v>
      </c>
      <c r="M12" t="s">
        <v>64</v>
      </c>
      <c r="N12">
        <f t="shared" ref="N12:N13" si="3">COUNTIF(D$11:K$13,L12)</f>
        <v>1</v>
      </c>
      <c r="O12">
        <f t="shared" si="1"/>
        <v>4.166666666666667</v>
      </c>
    </row>
    <row r="13" spans="1:15" ht="16.5" customHeight="1" thickBot="1" x14ac:dyDescent="0.4">
      <c r="A13" s="33"/>
      <c r="B13" s="6" t="s">
        <v>4</v>
      </c>
      <c r="C13" s="10" t="s">
        <v>34</v>
      </c>
      <c r="D13" s="6">
        <v>3</v>
      </c>
      <c r="E13" s="14">
        <v>3</v>
      </c>
      <c r="F13" s="6">
        <v>3</v>
      </c>
      <c r="G13" s="6">
        <v>2</v>
      </c>
      <c r="H13" s="6">
        <v>3</v>
      </c>
      <c r="I13" s="6">
        <v>3</v>
      </c>
      <c r="J13" s="6">
        <v>3</v>
      </c>
      <c r="K13" s="6">
        <v>3</v>
      </c>
      <c r="L13" s="1">
        <v>3</v>
      </c>
      <c r="M13" t="s">
        <v>65</v>
      </c>
      <c r="N13">
        <f t="shared" si="3"/>
        <v>23</v>
      </c>
      <c r="O13">
        <f t="shared" si="1"/>
        <v>95.833333333333329</v>
      </c>
    </row>
    <row r="14" spans="1:15" ht="16.5" customHeight="1" x14ac:dyDescent="0.35">
      <c r="A14" s="38" t="s">
        <v>17</v>
      </c>
      <c r="B14" s="4" t="s">
        <v>21</v>
      </c>
      <c r="C14" s="8" t="s">
        <v>26</v>
      </c>
      <c r="D14" s="4">
        <v>3</v>
      </c>
      <c r="E14" s="12">
        <v>3</v>
      </c>
      <c r="F14" s="4">
        <v>3</v>
      </c>
      <c r="G14" s="4">
        <v>3</v>
      </c>
      <c r="H14" s="4">
        <v>3</v>
      </c>
      <c r="I14" s="4">
        <v>3</v>
      </c>
      <c r="J14" s="4">
        <v>3</v>
      </c>
      <c r="K14" s="4">
        <v>3</v>
      </c>
      <c r="L14" s="1">
        <v>1</v>
      </c>
      <c r="M14" t="s">
        <v>63</v>
      </c>
      <c r="N14">
        <f>COUNTIF(D$14:K$16,L14)</f>
        <v>0</v>
      </c>
      <c r="O14">
        <f t="shared" si="1"/>
        <v>0</v>
      </c>
    </row>
    <row r="15" spans="1:15" ht="16.5" customHeight="1" x14ac:dyDescent="0.35">
      <c r="A15" s="32"/>
      <c r="B15" s="5" t="s">
        <v>3</v>
      </c>
      <c r="C15" s="9" t="s">
        <v>27</v>
      </c>
      <c r="D15" s="5">
        <v>3</v>
      </c>
      <c r="E15" s="13">
        <v>3</v>
      </c>
      <c r="F15" s="5">
        <v>3</v>
      </c>
      <c r="G15" s="5">
        <v>3</v>
      </c>
      <c r="H15" s="5">
        <v>3</v>
      </c>
      <c r="I15" s="5">
        <v>3</v>
      </c>
      <c r="J15" s="5">
        <v>2</v>
      </c>
      <c r="K15" s="5">
        <v>3</v>
      </c>
      <c r="L15" s="1">
        <v>2</v>
      </c>
      <c r="M15" t="s">
        <v>64</v>
      </c>
      <c r="N15">
        <f t="shared" ref="N15:N16" si="4">COUNTIF(D$14:K$16,L15)</f>
        <v>1</v>
      </c>
      <c r="O15">
        <f t="shared" si="1"/>
        <v>4.166666666666667</v>
      </c>
    </row>
    <row r="16" spans="1:15" ht="16.5" customHeight="1" thickBot="1" x14ac:dyDescent="0.4">
      <c r="A16" s="33"/>
      <c r="B16" s="6" t="s">
        <v>4</v>
      </c>
      <c r="C16" s="10" t="s">
        <v>28</v>
      </c>
      <c r="D16" s="6">
        <v>3</v>
      </c>
      <c r="E16" s="14">
        <v>3</v>
      </c>
      <c r="F16" s="6">
        <v>3</v>
      </c>
      <c r="G16" s="6">
        <v>3</v>
      </c>
      <c r="H16" s="6">
        <v>3</v>
      </c>
      <c r="I16" s="6">
        <v>3</v>
      </c>
      <c r="J16" s="6">
        <v>3</v>
      </c>
      <c r="K16" s="6">
        <v>3</v>
      </c>
      <c r="L16" s="1">
        <v>3</v>
      </c>
      <c r="M16" t="s">
        <v>65</v>
      </c>
      <c r="N16">
        <f t="shared" si="4"/>
        <v>23</v>
      </c>
      <c r="O16">
        <f t="shared" si="1"/>
        <v>95.833333333333329</v>
      </c>
    </row>
    <row r="17" spans="1:15" ht="16.5" customHeight="1" x14ac:dyDescent="0.35">
      <c r="A17" s="38" t="s">
        <v>19</v>
      </c>
      <c r="B17" s="11" t="s">
        <v>21</v>
      </c>
      <c r="C17" s="20" t="s">
        <v>29</v>
      </c>
      <c r="D17" s="11">
        <v>3</v>
      </c>
      <c r="E17" s="16">
        <v>3</v>
      </c>
      <c r="F17" s="11">
        <v>3</v>
      </c>
      <c r="G17" s="11">
        <v>3</v>
      </c>
      <c r="H17" s="11">
        <v>3</v>
      </c>
      <c r="I17" s="11">
        <v>3</v>
      </c>
      <c r="J17" s="11">
        <v>3</v>
      </c>
      <c r="K17" s="11">
        <v>3</v>
      </c>
      <c r="L17" s="1">
        <v>1</v>
      </c>
      <c r="M17" t="s">
        <v>63</v>
      </c>
      <c r="N17">
        <f>COUNTIF(D$17:K$19,L17)</f>
        <v>0</v>
      </c>
      <c r="O17">
        <f t="shared" si="1"/>
        <v>0</v>
      </c>
    </row>
    <row r="18" spans="1:15" ht="16.5" customHeight="1" x14ac:dyDescent="0.35">
      <c r="A18" s="32"/>
      <c r="B18" s="5" t="s">
        <v>3</v>
      </c>
      <c r="C18" s="9" t="s">
        <v>30</v>
      </c>
      <c r="D18" s="5">
        <v>3</v>
      </c>
      <c r="E18" s="13">
        <v>3</v>
      </c>
      <c r="F18" s="5">
        <v>3</v>
      </c>
      <c r="G18" s="5">
        <v>3</v>
      </c>
      <c r="H18" s="5">
        <v>3</v>
      </c>
      <c r="I18" s="5">
        <v>3</v>
      </c>
      <c r="J18" s="5">
        <v>3</v>
      </c>
      <c r="K18" s="5">
        <v>3</v>
      </c>
      <c r="L18" s="1">
        <v>2</v>
      </c>
      <c r="M18" t="s">
        <v>64</v>
      </c>
      <c r="N18">
        <f t="shared" ref="N18:N19" si="5">COUNTIF(D$17:K$19,L18)</f>
        <v>2</v>
      </c>
      <c r="O18">
        <f t="shared" si="1"/>
        <v>8.3333333333333339</v>
      </c>
    </row>
    <row r="19" spans="1:15" ht="16.5" customHeight="1" thickBot="1" x14ac:dyDescent="0.4">
      <c r="A19" s="33"/>
      <c r="B19" s="6" t="s">
        <v>4</v>
      </c>
      <c r="C19" s="10" t="s">
        <v>31</v>
      </c>
      <c r="D19" s="6">
        <v>3</v>
      </c>
      <c r="E19" s="14">
        <v>3</v>
      </c>
      <c r="F19" s="6">
        <v>3</v>
      </c>
      <c r="G19" s="6">
        <v>2</v>
      </c>
      <c r="H19" s="6">
        <v>3</v>
      </c>
      <c r="I19" s="6">
        <v>3</v>
      </c>
      <c r="J19" s="6">
        <v>2</v>
      </c>
      <c r="K19" s="6">
        <v>3</v>
      </c>
      <c r="L19" s="1">
        <v>3</v>
      </c>
      <c r="M19" t="s">
        <v>65</v>
      </c>
      <c r="N19">
        <f t="shared" si="5"/>
        <v>22</v>
      </c>
      <c r="O19">
        <f t="shared" si="1"/>
        <v>91.666666666666671</v>
      </c>
    </row>
    <row r="21" spans="1:15" x14ac:dyDescent="0.35">
      <c r="D21" t="s">
        <v>52</v>
      </c>
      <c r="E21" t="s">
        <v>53</v>
      </c>
    </row>
    <row r="22" spans="1:15" x14ac:dyDescent="0.35">
      <c r="A22" t="s">
        <v>39</v>
      </c>
      <c r="B22">
        <v>1</v>
      </c>
      <c r="C22" s="1" t="s">
        <v>44</v>
      </c>
      <c r="D22">
        <f>COUNTIF(D$5:K$19,B22)</f>
        <v>0</v>
      </c>
      <c r="E22">
        <f>100*D22/(15*8)</f>
        <v>0</v>
      </c>
    </row>
    <row r="23" spans="1:15" x14ac:dyDescent="0.35">
      <c r="B23">
        <v>2</v>
      </c>
      <c r="C23" s="1" t="s">
        <v>45</v>
      </c>
      <c r="D23">
        <f t="shared" ref="D23:D24" si="6">COUNTIF(D$5:K$19,B23)</f>
        <v>14</v>
      </c>
      <c r="E23">
        <f t="shared" ref="E23:E24" si="7">100*D23/(15*8)</f>
        <v>11.666666666666666</v>
      </c>
    </row>
    <row r="24" spans="1:15" x14ac:dyDescent="0.35">
      <c r="B24">
        <v>3</v>
      </c>
      <c r="C24" s="1" t="s">
        <v>46</v>
      </c>
      <c r="D24">
        <f t="shared" si="6"/>
        <v>106</v>
      </c>
      <c r="E24">
        <f t="shared" si="7"/>
        <v>88.333333333333329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"/>
  <sheetViews>
    <sheetView topLeftCell="A14" workbookViewId="0">
      <selection activeCell="A25" sqref="A25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0" customWidth="1"/>
  </cols>
  <sheetData>
    <row r="1" spans="1:16" x14ac:dyDescent="0.35">
      <c r="A1" t="s">
        <v>38</v>
      </c>
      <c r="C1" s="1" t="s">
        <v>49</v>
      </c>
    </row>
    <row r="2" spans="1:16" ht="15" thickBot="1" x14ac:dyDescent="0.4"/>
    <row r="3" spans="1:16" ht="15" thickBot="1" x14ac:dyDescent="0.4">
      <c r="D3" s="34" t="s">
        <v>8</v>
      </c>
      <c r="E3" s="35"/>
      <c r="F3" s="34" t="s">
        <v>9</v>
      </c>
      <c r="G3" s="35"/>
      <c r="H3" s="42" t="s">
        <v>11</v>
      </c>
      <c r="I3" s="43"/>
      <c r="J3" s="42" t="s">
        <v>18</v>
      </c>
      <c r="K3" s="43"/>
      <c r="M3" t="s">
        <v>53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26" t="s">
        <v>8</v>
      </c>
      <c r="N4" s="28" t="s">
        <v>66</v>
      </c>
      <c r="O4" s="28" t="s">
        <v>67</v>
      </c>
      <c r="P4" s="28" t="s">
        <v>68</v>
      </c>
    </row>
    <row r="5" spans="1:16" ht="16.5" customHeight="1" x14ac:dyDescent="0.35">
      <c r="A5" s="38" t="s">
        <v>1</v>
      </c>
      <c r="B5" s="4" t="s">
        <v>21</v>
      </c>
      <c r="C5" s="8" t="s">
        <v>35</v>
      </c>
      <c r="D5" s="4">
        <v>3</v>
      </c>
      <c r="E5" s="12">
        <v>3</v>
      </c>
      <c r="F5" s="4">
        <v>3</v>
      </c>
      <c r="G5" s="4">
        <v>3</v>
      </c>
      <c r="H5" s="4">
        <v>3</v>
      </c>
      <c r="I5" s="4">
        <v>2</v>
      </c>
      <c r="J5" s="4">
        <v>2</v>
      </c>
      <c r="K5" s="4">
        <v>2</v>
      </c>
      <c r="L5" s="1">
        <v>1</v>
      </c>
      <c r="M5">
        <f>100*COUNTIF(D$5:E$19,L5)/30</f>
        <v>0</v>
      </c>
      <c r="N5">
        <f>100*COUNTIF(F$5:G$19,L5)/30</f>
        <v>0</v>
      </c>
      <c r="O5">
        <f>100*COUNTIF(H$5:I$19,L5)/30</f>
        <v>0</v>
      </c>
      <c r="P5">
        <f>100*COUNTIF(J$5:K$19,L5)/30</f>
        <v>0</v>
      </c>
    </row>
    <row r="6" spans="1:16" ht="16.5" customHeight="1" x14ac:dyDescent="0.35">
      <c r="A6" s="32"/>
      <c r="B6" s="5" t="s">
        <v>3</v>
      </c>
      <c r="C6" s="9" t="s">
        <v>36</v>
      </c>
      <c r="D6" s="5">
        <v>3</v>
      </c>
      <c r="E6" s="13">
        <v>3</v>
      </c>
      <c r="F6" s="5">
        <v>3</v>
      </c>
      <c r="G6" s="5">
        <v>2</v>
      </c>
      <c r="H6" s="5">
        <v>2</v>
      </c>
      <c r="I6" s="5">
        <v>2</v>
      </c>
      <c r="J6" s="5">
        <v>3</v>
      </c>
      <c r="K6" s="5">
        <v>3</v>
      </c>
      <c r="L6" s="1">
        <v>2</v>
      </c>
      <c r="M6">
        <f t="shared" ref="M6:M7" si="0">100*COUNTIF(D$5:E$19,L6)/30</f>
        <v>0</v>
      </c>
      <c r="N6">
        <f t="shared" ref="N6:N7" si="1">100*COUNTIF(F$5:G$19,L6)/30</f>
        <v>16.666666666666668</v>
      </c>
      <c r="O6">
        <f t="shared" ref="O6:O7" si="2">100*COUNTIF(H$5:I$19,L6)/30</f>
        <v>13.333333333333334</v>
      </c>
      <c r="P6">
        <f t="shared" ref="P6:P7" si="3">100*COUNTIF(J$5:K$19,L6)/30</f>
        <v>16.666666666666668</v>
      </c>
    </row>
    <row r="7" spans="1:16" ht="16.5" customHeight="1" thickBot="1" x14ac:dyDescent="0.5">
      <c r="A7" s="33"/>
      <c r="B7" s="6" t="s">
        <v>4</v>
      </c>
      <c r="C7" s="10" t="s">
        <v>37</v>
      </c>
      <c r="D7" s="6">
        <v>3</v>
      </c>
      <c r="E7" s="14">
        <v>3</v>
      </c>
      <c r="F7" s="6">
        <v>3</v>
      </c>
      <c r="G7" s="6">
        <v>2</v>
      </c>
      <c r="H7" s="6">
        <v>2</v>
      </c>
      <c r="I7" s="21">
        <v>3</v>
      </c>
      <c r="J7" s="21">
        <v>3</v>
      </c>
      <c r="K7" s="6">
        <v>3</v>
      </c>
      <c r="L7" s="1">
        <v>3</v>
      </c>
      <c r="M7">
        <f t="shared" si="0"/>
        <v>100</v>
      </c>
      <c r="N7">
        <f t="shared" si="1"/>
        <v>83.333333333333329</v>
      </c>
      <c r="O7">
        <f t="shared" si="2"/>
        <v>86.666666666666671</v>
      </c>
      <c r="P7">
        <f t="shared" si="3"/>
        <v>83.333333333333329</v>
      </c>
    </row>
    <row r="8" spans="1:16" ht="16.5" customHeight="1" x14ac:dyDescent="0.35">
      <c r="A8" s="39" t="s">
        <v>20</v>
      </c>
      <c r="B8" s="4" t="s">
        <v>21</v>
      </c>
      <c r="C8" s="8" t="s">
        <v>23</v>
      </c>
      <c r="D8" s="4">
        <v>3</v>
      </c>
      <c r="E8" s="12">
        <v>3</v>
      </c>
      <c r="F8" s="4">
        <v>3</v>
      </c>
      <c r="G8" s="24">
        <v>3</v>
      </c>
      <c r="H8" s="4">
        <v>3</v>
      </c>
      <c r="I8" s="4">
        <v>3</v>
      </c>
      <c r="J8" s="4">
        <v>3</v>
      </c>
      <c r="K8" s="4">
        <v>3</v>
      </c>
      <c r="L8" s="1" t="s">
        <v>69</v>
      </c>
      <c r="M8">
        <f>SUM(M5:M7)</f>
        <v>100</v>
      </c>
      <c r="N8">
        <f>SUM(N5:N7)</f>
        <v>100</v>
      </c>
      <c r="O8">
        <f>SUM(O5:O7)</f>
        <v>100</v>
      </c>
      <c r="P8">
        <f>SUM(P5:P7)</f>
        <v>100</v>
      </c>
    </row>
    <row r="9" spans="1:16" ht="16.5" customHeight="1" x14ac:dyDescent="0.35">
      <c r="A9" s="40"/>
      <c r="B9" s="5" t="s">
        <v>3</v>
      </c>
      <c r="C9" s="9" t="s">
        <v>24</v>
      </c>
      <c r="D9" s="5">
        <v>3</v>
      </c>
      <c r="E9" s="13">
        <v>3</v>
      </c>
      <c r="F9" s="5">
        <v>3</v>
      </c>
      <c r="G9" s="18">
        <v>2</v>
      </c>
      <c r="H9" s="5">
        <v>3</v>
      </c>
      <c r="I9" s="5">
        <v>3</v>
      </c>
      <c r="J9" s="5">
        <v>3</v>
      </c>
      <c r="K9" s="5">
        <v>3</v>
      </c>
      <c r="L9" s="1"/>
    </row>
    <row r="10" spans="1:16" ht="16.5" customHeight="1" thickBot="1" x14ac:dyDescent="0.4">
      <c r="A10" s="41"/>
      <c r="B10" s="6" t="s">
        <v>4</v>
      </c>
      <c r="C10" s="10" t="s">
        <v>25</v>
      </c>
      <c r="D10" s="6">
        <v>3</v>
      </c>
      <c r="E10" s="14">
        <v>3</v>
      </c>
      <c r="F10" s="6">
        <v>3</v>
      </c>
      <c r="G10" s="25">
        <v>3</v>
      </c>
      <c r="H10" s="6">
        <v>3</v>
      </c>
      <c r="I10" s="6">
        <v>3</v>
      </c>
      <c r="J10" s="6">
        <v>2</v>
      </c>
      <c r="K10" s="6">
        <v>3</v>
      </c>
      <c r="L10" s="1"/>
    </row>
    <row r="11" spans="1:16" ht="16.5" customHeight="1" x14ac:dyDescent="0.35">
      <c r="A11" s="38" t="s">
        <v>2</v>
      </c>
      <c r="B11" s="4" t="s">
        <v>21</v>
      </c>
      <c r="C11" s="8" t="s">
        <v>32</v>
      </c>
      <c r="D11" s="4">
        <v>3</v>
      </c>
      <c r="E11" s="12">
        <v>3</v>
      </c>
      <c r="F11" s="4">
        <v>3</v>
      </c>
      <c r="G11" s="4">
        <v>3</v>
      </c>
      <c r="H11" s="4">
        <v>3</v>
      </c>
      <c r="I11" s="4">
        <v>3</v>
      </c>
      <c r="J11" s="4">
        <v>3</v>
      </c>
      <c r="K11" s="4">
        <v>3</v>
      </c>
      <c r="L11" s="1"/>
    </row>
    <row r="12" spans="1:16" ht="16.5" customHeight="1" x14ac:dyDescent="0.35">
      <c r="A12" s="32"/>
      <c r="B12" s="5" t="s">
        <v>3</v>
      </c>
      <c r="C12" s="9" t="s">
        <v>33</v>
      </c>
      <c r="D12" s="5">
        <v>3</v>
      </c>
      <c r="E12" s="15">
        <v>3</v>
      </c>
      <c r="F12" s="5">
        <v>3</v>
      </c>
      <c r="G12" s="5">
        <v>3</v>
      </c>
      <c r="H12" s="5">
        <v>3</v>
      </c>
      <c r="I12" s="5">
        <v>3</v>
      </c>
      <c r="J12" s="5">
        <v>3</v>
      </c>
      <c r="K12" s="5">
        <v>3</v>
      </c>
      <c r="L12" s="1"/>
    </row>
    <row r="13" spans="1:16" ht="16.5" customHeight="1" thickBot="1" x14ac:dyDescent="0.4">
      <c r="A13" s="33"/>
      <c r="B13" s="6" t="s">
        <v>4</v>
      </c>
      <c r="C13" s="10" t="s">
        <v>34</v>
      </c>
      <c r="D13" s="6">
        <v>3</v>
      </c>
      <c r="E13" s="14">
        <v>3</v>
      </c>
      <c r="F13" s="6">
        <v>3</v>
      </c>
      <c r="G13" s="6">
        <v>2</v>
      </c>
      <c r="H13" s="6">
        <v>3</v>
      </c>
      <c r="I13" s="6">
        <v>3</v>
      </c>
      <c r="J13" s="6">
        <v>3</v>
      </c>
      <c r="K13" s="6">
        <v>3</v>
      </c>
      <c r="L13" s="1"/>
    </row>
    <row r="14" spans="1:16" ht="16.5" customHeight="1" x14ac:dyDescent="0.35">
      <c r="A14" s="38" t="s">
        <v>17</v>
      </c>
      <c r="B14" s="4" t="s">
        <v>21</v>
      </c>
      <c r="C14" s="8" t="s">
        <v>26</v>
      </c>
      <c r="D14" s="4">
        <v>3</v>
      </c>
      <c r="E14" s="12">
        <v>3</v>
      </c>
      <c r="F14" s="4">
        <v>3</v>
      </c>
      <c r="G14" s="4">
        <v>3</v>
      </c>
      <c r="H14" s="4">
        <v>3</v>
      </c>
      <c r="I14" s="4">
        <v>3</v>
      </c>
      <c r="J14" s="4">
        <v>3</v>
      </c>
      <c r="K14" s="4">
        <v>3</v>
      </c>
      <c r="L14" s="1"/>
    </row>
    <row r="15" spans="1:16" ht="16.5" customHeight="1" x14ac:dyDescent="0.35">
      <c r="A15" s="32"/>
      <c r="B15" s="5" t="s">
        <v>3</v>
      </c>
      <c r="C15" s="9" t="s">
        <v>27</v>
      </c>
      <c r="D15" s="5">
        <v>3</v>
      </c>
      <c r="E15" s="13">
        <v>3</v>
      </c>
      <c r="F15" s="5">
        <v>3</v>
      </c>
      <c r="G15" s="5">
        <v>3</v>
      </c>
      <c r="H15" s="5">
        <v>3</v>
      </c>
      <c r="I15" s="5">
        <v>3</v>
      </c>
      <c r="J15" s="5">
        <v>2</v>
      </c>
      <c r="K15" s="5">
        <v>3</v>
      </c>
      <c r="L15" s="1"/>
    </row>
    <row r="16" spans="1:16" ht="16.5" customHeight="1" thickBot="1" x14ac:dyDescent="0.4">
      <c r="A16" s="33"/>
      <c r="B16" s="6" t="s">
        <v>4</v>
      </c>
      <c r="C16" s="10" t="s">
        <v>28</v>
      </c>
      <c r="D16" s="6">
        <v>3</v>
      </c>
      <c r="E16" s="14">
        <v>3</v>
      </c>
      <c r="F16" s="6">
        <v>3</v>
      </c>
      <c r="G16" s="6">
        <v>3</v>
      </c>
      <c r="H16" s="6">
        <v>3</v>
      </c>
      <c r="I16" s="6">
        <v>3</v>
      </c>
      <c r="J16" s="6">
        <v>3</v>
      </c>
      <c r="K16" s="6">
        <v>3</v>
      </c>
      <c r="L16" s="1"/>
    </row>
    <row r="17" spans="1:12" ht="16.5" customHeight="1" x14ac:dyDescent="0.35">
      <c r="A17" s="38" t="s">
        <v>19</v>
      </c>
      <c r="B17" s="11" t="s">
        <v>21</v>
      </c>
      <c r="C17" s="20" t="s">
        <v>29</v>
      </c>
      <c r="D17" s="11">
        <v>3</v>
      </c>
      <c r="E17" s="16">
        <v>3</v>
      </c>
      <c r="F17" s="11">
        <v>3</v>
      </c>
      <c r="G17" s="11">
        <v>3</v>
      </c>
      <c r="H17" s="11">
        <v>3</v>
      </c>
      <c r="I17" s="11">
        <v>3</v>
      </c>
      <c r="J17" s="11">
        <v>3</v>
      </c>
      <c r="K17" s="11">
        <v>3</v>
      </c>
      <c r="L17" s="1"/>
    </row>
    <row r="18" spans="1:12" ht="16.5" customHeight="1" x14ac:dyDescent="0.35">
      <c r="A18" s="32"/>
      <c r="B18" s="5" t="s">
        <v>3</v>
      </c>
      <c r="C18" s="9" t="s">
        <v>30</v>
      </c>
      <c r="D18" s="5">
        <v>3</v>
      </c>
      <c r="E18" s="13">
        <v>3</v>
      </c>
      <c r="F18" s="5">
        <v>3</v>
      </c>
      <c r="G18" s="5">
        <v>3</v>
      </c>
      <c r="H18" s="5">
        <v>3</v>
      </c>
      <c r="I18" s="5">
        <v>3</v>
      </c>
      <c r="J18" s="5">
        <v>3</v>
      </c>
      <c r="K18" s="5">
        <v>3</v>
      </c>
      <c r="L18" s="1"/>
    </row>
    <row r="19" spans="1:12" ht="16.5" customHeight="1" thickBot="1" x14ac:dyDescent="0.4">
      <c r="A19" s="33"/>
      <c r="B19" s="6" t="s">
        <v>4</v>
      </c>
      <c r="C19" s="10" t="s">
        <v>31</v>
      </c>
      <c r="D19" s="6">
        <v>3</v>
      </c>
      <c r="E19" s="14">
        <v>3</v>
      </c>
      <c r="F19" s="6">
        <v>3</v>
      </c>
      <c r="G19" s="6">
        <v>2</v>
      </c>
      <c r="H19" s="6">
        <v>3</v>
      </c>
      <c r="I19" s="6">
        <v>3</v>
      </c>
      <c r="J19" s="6">
        <v>2</v>
      </c>
      <c r="K19" s="6">
        <v>3</v>
      </c>
      <c r="L19" s="1"/>
    </row>
    <row r="21" spans="1:12" x14ac:dyDescent="0.35">
      <c r="D21" t="s">
        <v>52</v>
      </c>
      <c r="E21" t="s">
        <v>53</v>
      </c>
    </row>
    <row r="22" spans="1:12" x14ac:dyDescent="0.35">
      <c r="A22" t="s">
        <v>39</v>
      </c>
      <c r="B22">
        <v>1</v>
      </c>
      <c r="C22" s="1" t="s">
        <v>44</v>
      </c>
      <c r="D22">
        <f>COUNTIF(D$5:K$19,B22)</f>
        <v>0</v>
      </c>
      <c r="E22">
        <f>100*D22/(15*8)</f>
        <v>0</v>
      </c>
    </row>
    <row r="23" spans="1:12" x14ac:dyDescent="0.35">
      <c r="B23">
        <v>2</v>
      </c>
      <c r="C23" s="1" t="s">
        <v>45</v>
      </c>
      <c r="D23">
        <f t="shared" ref="D23:D24" si="4">COUNTIF(D$5:K$19,B23)</f>
        <v>14</v>
      </c>
      <c r="E23">
        <f t="shared" ref="E23:E24" si="5">100*D23/(15*8)</f>
        <v>11.666666666666666</v>
      </c>
    </row>
    <row r="24" spans="1:12" x14ac:dyDescent="0.35">
      <c r="B24">
        <v>3</v>
      </c>
      <c r="C24" s="1" t="s">
        <v>46</v>
      </c>
      <c r="D24">
        <f t="shared" si="4"/>
        <v>106</v>
      </c>
      <c r="E24">
        <f t="shared" si="5"/>
        <v>88.333333333333329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C43C-DF29-487E-BB12-BB24C1613C1F}">
  <dimension ref="A1:P23"/>
  <sheetViews>
    <sheetView workbookViewId="0">
      <selection activeCell="E24" sqref="E24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5.36328125" style="1" customWidth="1"/>
    <col min="4" max="11" width="14.08984375" customWidth="1"/>
  </cols>
  <sheetData>
    <row r="1" spans="1:16" x14ac:dyDescent="0.35">
      <c r="A1" t="s">
        <v>38</v>
      </c>
      <c r="C1" s="1" t="s">
        <v>49</v>
      </c>
    </row>
    <row r="2" spans="1:16" ht="15" thickBot="1" x14ac:dyDescent="0.4"/>
    <row r="3" spans="1:16" ht="15" thickBot="1" x14ac:dyDescent="0.4">
      <c r="D3" s="34" t="s">
        <v>8</v>
      </c>
      <c r="E3" s="35"/>
      <c r="F3" s="34" t="s">
        <v>9</v>
      </c>
      <c r="G3" s="35"/>
      <c r="H3" s="42" t="s">
        <v>11</v>
      </c>
      <c r="I3" s="43"/>
      <c r="J3" s="42" t="s">
        <v>18</v>
      </c>
      <c r="K3" s="43"/>
      <c r="M3" t="s">
        <v>70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29" t="s">
        <v>71</v>
      </c>
      <c r="N4" s="29" t="s">
        <v>72</v>
      </c>
      <c r="O4" s="29" t="s">
        <v>73</v>
      </c>
      <c r="P4" s="29" t="s">
        <v>74</v>
      </c>
    </row>
    <row r="5" spans="1:16" ht="16.5" customHeight="1" x14ac:dyDescent="0.35">
      <c r="A5" s="38" t="s">
        <v>1</v>
      </c>
      <c r="B5" s="4" t="s">
        <v>21</v>
      </c>
      <c r="C5" s="8" t="s">
        <v>35</v>
      </c>
      <c r="D5" s="4">
        <v>3</v>
      </c>
      <c r="E5" s="12">
        <v>4</v>
      </c>
      <c r="F5" s="4">
        <v>2</v>
      </c>
      <c r="G5" s="4">
        <v>4</v>
      </c>
      <c r="H5" s="4">
        <v>12</v>
      </c>
      <c r="I5" s="4">
        <v>2</v>
      </c>
      <c r="J5" s="4">
        <v>23</v>
      </c>
      <c r="K5" s="4">
        <v>27</v>
      </c>
      <c r="M5">
        <f>SUM(D5:E7)/6</f>
        <v>3.3333333333333335</v>
      </c>
      <c r="N5">
        <f>SUM(F5:G7)/6</f>
        <v>19.666666666666668</v>
      </c>
      <c r="O5">
        <f>SUM(H5:I7)/6</f>
        <v>6</v>
      </c>
      <c r="P5">
        <f>SUM(J5:K7)/6</f>
        <v>15</v>
      </c>
    </row>
    <row r="6" spans="1:16" ht="16.5" customHeight="1" x14ac:dyDescent="0.35">
      <c r="A6" s="32"/>
      <c r="B6" s="5" t="s">
        <v>3</v>
      </c>
      <c r="C6" s="9" t="s">
        <v>36</v>
      </c>
      <c r="D6" s="5">
        <v>2</v>
      </c>
      <c r="E6" s="13">
        <v>3</v>
      </c>
      <c r="F6" s="5">
        <v>15</v>
      </c>
      <c r="G6" s="5">
        <v>1</v>
      </c>
      <c r="H6" s="5">
        <v>2</v>
      </c>
      <c r="I6" s="5">
        <v>9</v>
      </c>
      <c r="J6" s="5">
        <v>9</v>
      </c>
      <c r="K6" s="5">
        <v>11</v>
      </c>
    </row>
    <row r="7" spans="1:16" ht="16.5" customHeight="1" thickBot="1" x14ac:dyDescent="0.5">
      <c r="A7" s="33"/>
      <c r="B7" s="6" t="s">
        <v>4</v>
      </c>
      <c r="C7" s="10" t="s">
        <v>37</v>
      </c>
      <c r="D7" s="6">
        <v>3</v>
      </c>
      <c r="E7" s="14">
        <v>5</v>
      </c>
      <c r="F7" s="6">
        <v>91</v>
      </c>
      <c r="G7" s="6">
        <v>5</v>
      </c>
      <c r="H7" s="6">
        <v>5</v>
      </c>
      <c r="I7" s="21">
        <v>6</v>
      </c>
      <c r="J7" s="21">
        <v>11</v>
      </c>
      <c r="K7" s="6">
        <v>9</v>
      </c>
    </row>
    <row r="8" spans="1:16" ht="16.5" customHeight="1" x14ac:dyDescent="0.35">
      <c r="A8" s="39" t="s">
        <v>20</v>
      </c>
      <c r="B8" s="4" t="s">
        <v>21</v>
      </c>
      <c r="C8" s="8" t="s">
        <v>23</v>
      </c>
      <c r="D8" s="4">
        <v>10</v>
      </c>
      <c r="E8" s="12">
        <v>10</v>
      </c>
      <c r="F8" s="4">
        <v>2</v>
      </c>
      <c r="G8" s="24">
        <v>1</v>
      </c>
      <c r="H8" s="4">
        <v>4</v>
      </c>
      <c r="I8" s="4">
        <v>4</v>
      </c>
      <c r="J8" s="4">
        <v>11</v>
      </c>
      <c r="K8" s="4">
        <v>5</v>
      </c>
      <c r="M8">
        <f>SUM(D8:E10)/6</f>
        <v>5.833333333333333</v>
      </c>
      <c r="N8">
        <f>SUM(F8:G10)/6</f>
        <v>8.5</v>
      </c>
      <c r="O8">
        <f>SUM(H8:I10)/6</f>
        <v>3.8333333333333335</v>
      </c>
      <c r="P8">
        <f>SUM(J8:K10)/6</f>
        <v>14.666666666666666</v>
      </c>
    </row>
    <row r="9" spans="1:16" ht="16.5" customHeight="1" x14ac:dyDescent="0.35">
      <c r="A9" s="40"/>
      <c r="B9" s="5" t="s">
        <v>3</v>
      </c>
      <c r="C9" s="9" t="s">
        <v>24</v>
      </c>
      <c r="D9" s="5">
        <v>5</v>
      </c>
      <c r="E9" s="13">
        <v>4</v>
      </c>
      <c r="F9" s="5">
        <v>12</v>
      </c>
      <c r="G9" s="18">
        <v>4</v>
      </c>
      <c r="H9" s="5">
        <v>4</v>
      </c>
      <c r="I9" s="5">
        <v>4</v>
      </c>
      <c r="J9" s="5">
        <v>13</v>
      </c>
      <c r="K9" s="5">
        <v>13</v>
      </c>
    </row>
    <row r="10" spans="1:16" ht="16.5" customHeight="1" thickBot="1" x14ac:dyDescent="0.4">
      <c r="A10" s="41"/>
      <c r="B10" s="6" t="s">
        <v>4</v>
      </c>
      <c r="C10" s="10" t="s">
        <v>25</v>
      </c>
      <c r="D10" s="6">
        <v>3</v>
      </c>
      <c r="E10" s="14">
        <v>3</v>
      </c>
      <c r="F10" s="6">
        <v>29</v>
      </c>
      <c r="G10" s="25">
        <v>3</v>
      </c>
      <c r="H10" s="6">
        <v>4</v>
      </c>
      <c r="I10" s="6">
        <v>3</v>
      </c>
      <c r="J10" s="6">
        <v>7</v>
      </c>
      <c r="K10" s="6">
        <v>39</v>
      </c>
    </row>
    <row r="11" spans="1:16" ht="16.5" customHeight="1" x14ac:dyDescent="0.35">
      <c r="A11" s="38" t="s">
        <v>2</v>
      </c>
      <c r="B11" s="4" t="s">
        <v>21</v>
      </c>
      <c r="C11" s="8" t="s">
        <v>32</v>
      </c>
      <c r="D11" s="4">
        <v>11</v>
      </c>
      <c r="E11" s="12">
        <v>3</v>
      </c>
      <c r="F11" s="4">
        <v>2</v>
      </c>
      <c r="G11" s="4">
        <v>2</v>
      </c>
      <c r="H11" s="4">
        <v>3</v>
      </c>
      <c r="I11" s="4">
        <v>3</v>
      </c>
      <c r="J11" s="4">
        <v>8</v>
      </c>
      <c r="K11" s="4">
        <v>3</v>
      </c>
      <c r="M11">
        <f>SUM(D11:E13)/6</f>
        <v>5.666666666666667</v>
      </c>
      <c r="N11">
        <f>SUM(F11:G14)/6</f>
        <v>8.3333333333333339</v>
      </c>
      <c r="O11">
        <f>SUM(H11:I13)/6</f>
        <v>7.833333333333333</v>
      </c>
      <c r="P11">
        <f>SUM(J11:K13)/6</f>
        <v>12.666666666666666</v>
      </c>
    </row>
    <row r="12" spans="1:16" ht="16.5" customHeight="1" x14ac:dyDescent="0.35">
      <c r="A12" s="32"/>
      <c r="B12" s="5" t="s">
        <v>3</v>
      </c>
      <c r="C12" s="9" t="s">
        <v>33</v>
      </c>
      <c r="D12" s="5">
        <v>10</v>
      </c>
      <c r="E12" s="15">
        <v>2</v>
      </c>
      <c r="F12" s="5">
        <v>10</v>
      </c>
      <c r="G12" s="5">
        <v>2</v>
      </c>
      <c r="H12" s="5">
        <v>4</v>
      </c>
      <c r="I12" s="5">
        <v>16</v>
      </c>
      <c r="J12" s="5">
        <v>9</v>
      </c>
      <c r="K12" s="5">
        <v>7</v>
      </c>
    </row>
    <row r="13" spans="1:16" ht="16.5" customHeight="1" thickBot="1" x14ac:dyDescent="0.4">
      <c r="A13" s="33"/>
      <c r="B13" s="6" t="s">
        <v>4</v>
      </c>
      <c r="C13" s="10" t="s">
        <v>34</v>
      </c>
      <c r="D13" s="6">
        <v>4</v>
      </c>
      <c r="E13" s="14">
        <v>4</v>
      </c>
      <c r="F13" s="6">
        <v>21</v>
      </c>
      <c r="G13" s="6">
        <v>8</v>
      </c>
      <c r="H13" s="6">
        <v>14</v>
      </c>
      <c r="I13" s="6">
        <v>7</v>
      </c>
      <c r="J13" s="6">
        <v>46</v>
      </c>
      <c r="K13" s="6">
        <v>3</v>
      </c>
    </row>
    <row r="14" spans="1:16" ht="16.5" customHeight="1" x14ac:dyDescent="0.35">
      <c r="A14" s="38" t="s">
        <v>17</v>
      </c>
      <c r="B14" s="4" t="s">
        <v>21</v>
      </c>
      <c r="C14" s="8" t="s">
        <v>26</v>
      </c>
      <c r="D14" s="4">
        <v>11</v>
      </c>
      <c r="E14" s="12">
        <v>8</v>
      </c>
      <c r="F14" s="4">
        <v>1</v>
      </c>
      <c r="G14" s="4">
        <v>4</v>
      </c>
      <c r="H14" s="4">
        <v>4</v>
      </c>
      <c r="I14" s="4">
        <v>1</v>
      </c>
      <c r="J14" s="4">
        <v>10</v>
      </c>
      <c r="K14" s="4">
        <v>18</v>
      </c>
      <c r="M14">
        <f>SUM(D14:E16)/6</f>
        <v>6.833333333333333</v>
      </c>
      <c r="N14">
        <f>SUM(F14:G16)/6</f>
        <v>7.666666666666667</v>
      </c>
      <c r="O14">
        <f>SUM(H14:I16)/6</f>
        <v>2.8333333333333335</v>
      </c>
      <c r="P14">
        <f>SUM(J14:K16)/6</f>
        <v>14.5</v>
      </c>
    </row>
    <row r="15" spans="1:16" ht="16.5" customHeight="1" x14ac:dyDescent="0.35">
      <c r="A15" s="32"/>
      <c r="B15" s="5" t="s">
        <v>3</v>
      </c>
      <c r="C15" s="9" t="s">
        <v>27</v>
      </c>
      <c r="D15" s="5">
        <v>6</v>
      </c>
      <c r="E15" s="13">
        <v>5</v>
      </c>
      <c r="F15" s="5">
        <v>9</v>
      </c>
      <c r="G15" s="5">
        <v>9</v>
      </c>
      <c r="H15" s="5">
        <v>1</v>
      </c>
      <c r="I15" s="5">
        <v>4</v>
      </c>
      <c r="J15" s="5">
        <v>4</v>
      </c>
      <c r="K15" s="5">
        <v>31</v>
      </c>
    </row>
    <row r="16" spans="1:16" ht="16.5" customHeight="1" thickBot="1" x14ac:dyDescent="0.4">
      <c r="A16" s="33"/>
      <c r="B16" s="6" t="s">
        <v>4</v>
      </c>
      <c r="C16" s="10" t="s">
        <v>28</v>
      </c>
      <c r="D16" s="6">
        <v>7</v>
      </c>
      <c r="E16" s="14">
        <v>4</v>
      </c>
      <c r="F16" s="6">
        <v>22</v>
      </c>
      <c r="G16" s="6">
        <v>1</v>
      </c>
      <c r="H16" s="6">
        <v>3</v>
      </c>
      <c r="I16" s="6">
        <v>4</v>
      </c>
      <c r="J16" s="6">
        <v>16</v>
      </c>
      <c r="K16" s="6">
        <v>8</v>
      </c>
    </row>
    <row r="17" spans="1:16" ht="16.5" customHeight="1" x14ac:dyDescent="0.35">
      <c r="A17" s="38" t="s">
        <v>19</v>
      </c>
      <c r="B17" s="11" t="s">
        <v>21</v>
      </c>
      <c r="C17" s="20" t="s">
        <v>29</v>
      </c>
      <c r="D17" s="11">
        <v>11</v>
      </c>
      <c r="E17" s="16">
        <v>8</v>
      </c>
      <c r="F17" s="11">
        <v>2</v>
      </c>
      <c r="G17" s="11">
        <v>3</v>
      </c>
      <c r="H17" s="11">
        <v>4</v>
      </c>
      <c r="I17" s="11">
        <v>1</v>
      </c>
      <c r="J17" s="11">
        <v>13</v>
      </c>
      <c r="K17" s="11">
        <v>13</v>
      </c>
      <c r="M17">
        <f>SUM(D17:E19)/6</f>
        <v>7.833333333333333</v>
      </c>
      <c r="N17">
        <f>SUM(F17:G19)/6</f>
        <v>9.3333333333333339</v>
      </c>
      <c r="O17">
        <f>SUM(H17:I19)/6</f>
        <v>5</v>
      </c>
      <c r="P17">
        <f>SUM(J17:K19)/6</f>
        <v>16.666666666666668</v>
      </c>
    </row>
    <row r="18" spans="1:16" ht="16.5" customHeight="1" x14ac:dyDescent="0.35">
      <c r="A18" s="32"/>
      <c r="B18" s="5" t="s">
        <v>3</v>
      </c>
      <c r="C18" s="9" t="s">
        <v>30</v>
      </c>
      <c r="D18" s="5">
        <v>8</v>
      </c>
      <c r="E18" s="13">
        <v>6</v>
      </c>
      <c r="F18" s="5">
        <v>10</v>
      </c>
      <c r="G18" s="5">
        <v>5</v>
      </c>
      <c r="H18" s="5">
        <v>4</v>
      </c>
      <c r="I18" s="5">
        <v>9</v>
      </c>
      <c r="J18" s="5">
        <v>15</v>
      </c>
      <c r="K18" s="5">
        <v>14</v>
      </c>
    </row>
    <row r="19" spans="1:16" ht="16.5" customHeight="1" thickBot="1" x14ac:dyDescent="0.4">
      <c r="A19" s="33"/>
      <c r="B19" s="6" t="s">
        <v>4</v>
      </c>
      <c r="C19" s="10" t="s">
        <v>31</v>
      </c>
      <c r="D19" s="6">
        <v>8</v>
      </c>
      <c r="E19" s="14">
        <v>6</v>
      </c>
      <c r="F19" s="6">
        <v>20</v>
      </c>
      <c r="G19" s="6">
        <v>16</v>
      </c>
      <c r="H19" s="6">
        <v>3</v>
      </c>
      <c r="I19" s="6">
        <v>9</v>
      </c>
      <c r="J19" s="6">
        <v>16</v>
      </c>
      <c r="K19" s="6">
        <v>29</v>
      </c>
    </row>
    <row r="20" spans="1:16" x14ac:dyDescent="0.35">
      <c r="M20">
        <f>SUM(M5:M17)/5</f>
        <v>5.8999999999999995</v>
      </c>
      <c r="N20">
        <f t="shared" ref="N20:P20" si="0">SUM(N5:N17)/5</f>
        <v>10.7</v>
      </c>
      <c r="O20">
        <f t="shared" si="0"/>
        <v>5.0999999999999996</v>
      </c>
      <c r="P20">
        <f t="shared" si="0"/>
        <v>14.7</v>
      </c>
    </row>
    <row r="21" spans="1:16" x14ac:dyDescent="0.35">
      <c r="A21" t="s">
        <v>57</v>
      </c>
      <c r="B21">
        <f>SUM(D5:K19)/120</f>
        <v>9.0583333333333336</v>
      </c>
    </row>
    <row r="22" spans="1:16" x14ac:dyDescent="0.35">
      <c r="A22" t="s">
        <v>55</v>
      </c>
      <c r="B22">
        <f>MIN(D5:K19)</f>
        <v>1</v>
      </c>
    </row>
    <row r="23" spans="1:16" x14ac:dyDescent="0.35">
      <c r="A23" t="s">
        <v>56</v>
      </c>
      <c r="B23">
        <f>MAX(D5:K19)</f>
        <v>91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"/>
  <sheetViews>
    <sheetView workbookViewId="0">
      <selection activeCell="D1" sqref="D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5.36328125" style="1" customWidth="1"/>
    <col min="4" max="11" width="14.08984375" customWidth="1"/>
  </cols>
  <sheetData>
    <row r="1" spans="1:16" x14ac:dyDescent="0.35">
      <c r="A1" t="s">
        <v>38</v>
      </c>
      <c r="C1" s="1" t="s">
        <v>49</v>
      </c>
    </row>
    <row r="2" spans="1:16" ht="15" thickBot="1" x14ac:dyDescent="0.4"/>
    <row r="3" spans="1:16" ht="15" thickBot="1" x14ac:dyDescent="0.4">
      <c r="D3" s="34" t="s">
        <v>8</v>
      </c>
      <c r="E3" s="35"/>
      <c r="F3" s="34" t="s">
        <v>9</v>
      </c>
      <c r="G3" s="35"/>
      <c r="H3" s="42" t="s">
        <v>11</v>
      </c>
      <c r="I3" s="43"/>
      <c r="J3" s="42" t="s">
        <v>18</v>
      </c>
      <c r="K3" s="43"/>
      <c r="M3" t="s">
        <v>70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29" t="s">
        <v>71</v>
      </c>
      <c r="N4" s="29" t="s">
        <v>72</v>
      </c>
      <c r="O4" s="29" t="s">
        <v>73</v>
      </c>
      <c r="P4" s="29" t="s">
        <v>74</v>
      </c>
    </row>
    <row r="5" spans="1:16" ht="16.5" customHeight="1" x14ac:dyDescent="0.35">
      <c r="A5" s="38" t="s">
        <v>1</v>
      </c>
      <c r="B5" s="4" t="s">
        <v>21</v>
      </c>
      <c r="C5" s="8" t="s">
        <v>35</v>
      </c>
      <c r="D5" s="4">
        <v>4</v>
      </c>
      <c r="E5" s="12">
        <v>4</v>
      </c>
      <c r="F5" s="4">
        <v>2</v>
      </c>
      <c r="G5" s="4">
        <v>4</v>
      </c>
      <c r="H5" s="4">
        <v>12</v>
      </c>
      <c r="I5" s="4">
        <v>2</v>
      </c>
      <c r="J5" s="4">
        <v>23</v>
      </c>
      <c r="K5" s="4">
        <v>27</v>
      </c>
      <c r="M5">
        <f>SUM(D5:E7)/6</f>
        <v>3.5</v>
      </c>
      <c r="N5">
        <f>SUM(F5:G7)/6</f>
        <v>19.666666666666668</v>
      </c>
      <c r="O5">
        <f>SUM(H5:I7)/6</f>
        <v>6</v>
      </c>
      <c r="P5">
        <f>SUM(J5:K7)/6</f>
        <v>15</v>
      </c>
    </row>
    <row r="6" spans="1:16" ht="16.5" customHeight="1" x14ac:dyDescent="0.35">
      <c r="A6" s="32"/>
      <c r="B6" s="5" t="s">
        <v>3</v>
      </c>
      <c r="C6" s="9" t="s">
        <v>36</v>
      </c>
      <c r="D6" s="5">
        <v>2</v>
      </c>
      <c r="E6" s="13">
        <v>3</v>
      </c>
      <c r="F6" s="5">
        <v>15</v>
      </c>
      <c r="G6" s="5">
        <v>1</v>
      </c>
      <c r="H6" s="5">
        <v>2</v>
      </c>
      <c r="I6" s="5">
        <v>9</v>
      </c>
      <c r="J6" s="5">
        <v>9</v>
      </c>
      <c r="K6" s="5">
        <v>11</v>
      </c>
    </row>
    <row r="7" spans="1:16" ht="16.5" customHeight="1" thickBot="1" x14ac:dyDescent="0.5">
      <c r="A7" s="33"/>
      <c r="B7" s="6" t="s">
        <v>4</v>
      </c>
      <c r="C7" s="10" t="s">
        <v>37</v>
      </c>
      <c r="D7" s="6">
        <v>3</v>
      </c>
      <c r="E7" s="14">
        <v>5</v>
      </c>
      <c r="F7" s="6">
        <v>91</v>
      </c>
      <c r="G7" s="6">
        <v>5</v>
      </c>
      <c r="H7" s="6">
        <v>5</v>
      </c>
      <c r="I7" s="21">
        <v>6</v>
      </c>
      <c r="J7" s="21">
        <v>11</v>
      </c>
      <c r="K7" s="6">
        <v>9</v>
      </c>
    </row>
    <row r="8" spans="1:16" ht="16.5" customHeight="1" x14ac:dyDescent="0.35">
      <c r="A8" s="39" t="s">
        <v>20</v>
      </c>
      <c r="B8" s="4" t="s">
        <v>21</v>
      </c>
      <c r="C8" s="8" t="s">
        <v>23</v>
      </c>
      <c r="D8" s="4">
        <v>10</v>
      </c>
      <c r="E8" s="12">
        <v>10</v>
      </c>
      <c r="F8" s="4">
        <v>2</v>
      </c>
      <c r="G8" s="24">
        <v>1</v>
      </c>
      <c r="H8" s="4">
        <v>4</v>
      </c>
      <c r="I8" s="4">
        <v>4</v>
      </c>
      <c r="J8" s="4">
        <v>11</v>
      </c>
      <c r="K8" s="4">
        <v>5</v>
      </c>
      <c r="M8">
        <f>SUM(D8:E10)/6</f>
        <v>5.833333333333333</v>
      </c>
      <c r="N8">
        <f>SUM(F8:G10)/6</f>
        <v>8.5</v>
      </c>
      <c r="O8">
        <f>SUM(H8:I10)/6</f>
        <v>3.8333333333333335</v>
      </c>
      <c r="P8">
        <f>SUM(J8:K10)/6</f>
        <v>14.666666666666666</v>
      </c>
    </row>
    <row r="9" spans="1:16" ht="16.5" customHeight="1" x14ac:dyDescent="0.35">
      <c r="A9" s="40"/>
      <c r="B9" s="5" t="s">
        <v>3</v>
      </c>
      <c r="C9" s="9" t="s">
        <v>24</v>
      </c>
      <c r="D9" s="5">
        <v>5</v>
      </c>
      <c r="E9" s="13">
        <v>4</v>
      </c>
      <c r="F9" s="5">
        <v>12</v>
      </c>
      <c r="G9" s="18">
        <v>4</v>
      </c>
      <c r="H9" s="5">
        <v>4</v>
      </c>
      <c r="I9" s="5">
        <v>4</v>
      </c>
      <c r="J9" s="5">
        <v>13</v>
      </c>
      <c r="K9" s="5">
        <v>13</v>
      </c>
    </row>
    <row r="10" spans="1:16" ht="16.5" customHeight="1" thickBot="1" x14ac:dyDescent="0.4">
      <c r="A10" s="41"/>
      <c r="B10" s="6" t="s">
        <v>4</v>
      </c>
      <c r="C10" s="10" t="s">
        <v>25</v>
      </c>
      <c r="D10" s="6">
        <v>3</v>
      </c>
      <c r="E10" s="14">
        <v>3</v>
      </c>
      <c r="F10" s="6">
        <v>29</v>
      </c>
      <c r="G10" s="25">
        <v>3</v>
      </c>
      <c r="H10" s="6">
        <v>4</v>
      </c>
      <c r="I10" s="6">
        <v>3</v>
      </c>
      <c r="J10" s="6">
        <v>7</v>
      </c>
      <c r="K10" s="6">
        <v>39</v>
      </c>
    </row>
    <row r="11" spans="1:16" ht="16.5" customHeight="1" x14ac:dyDescent="0.35">
      <c r="A11" s="38" t="s">
        <v>2</v>
      </c>
      <c r="B11" s="4" t="s">
        <v>21</v>
      </c>
      <c r="C11" s="8" t="s">
        <v>32</v>
      </c>
      <c r="D11" s="4">
        <v>11</v>
      </c>
      <c r="E11" s="12">
        <v>3</v>
      </c>
      <c r="F11" s="4">
        <v>2</v>
      </c>
      <c r="G11" s="4">
        <v>2</v>
      </c>
      <c r="H11" s="4">
        <v>3</v>
      </c>
      <c r="I11" s="4">
        <v>3</v>
      </c>
      <c r="J11" s="4">
        <v>8</v>
      </c>
      <c r="K11" s="4">
        <v>3</v>
      </c>
      <c r="M11">
        <f>SUM(D11:E13)/6</f>
        <v>5.666666666666667</v>
      </c>
      <c r="N11">
        <f>SUM(F11:G14)/6</f>
        <v>8.3333333333333339</v>
      </c>
      <c r="O11">
        <f>SUM(H11:I13)/6</f>
        <v>7.833333333333333</v>
      </c>
      <c r="P11">
        <f>SUM(J11:K13)/6</f>
        <v>12.666666666666666</v>
      </c>
    </row>
    <row r="12" spans="1:16" ht="16.5" customHeight="1" x14ac:dyDescent="0.35">
      <c r="A12" s="32"/>
      <c r="B12" s="5" t="s">
        <v>3</v>
      </c>
      <c r="C12" s="9" t="s">
        <v>33</v>
      </c>
      <c r="D12" s="5">
        <v>10</v>
      </c>
      <c r="E12" s="15">
        <v>2</v>
      </c>
      <c r="F12" s="5">
        <v>10</v>
      </c>
      <c r="G12" s="5">
        <v>2</v>
      </c>
      <c r="H12" s="5">
        <v>4</v>
      </c>
      <c r="I12" s="5">
        <v>16</v>
      </c>
      <c r="J12" s="5">
        <v>9</v>
      </c>
      <c r="K12" s="5">
        <v>7</v>
      </c>
    </row>
    <row r="13" spans="1:16" ht="16.5" customHeight="1" thickBot="1" x14ac:dyDescent="0.4">
      <c r="A13" s="33"/>
      <c r="B13" s="6" t="s">
        <v>4</v>
      </c>
      <c r="C13" s="10" t="s">
        <v>34</v>
      </c>
      <c r="D13" s="6">
        <v>4</v>
      </c>
      <c r="E13" s="14">
        <v>4</v>
      </c>
      <c r="F13" s="6">
        <v>21</v>
      </c>
      <c r="G13" s="6">
        <v>8</v>
      </c>
      <c r="H13" s="6">
        <v>14</v>
      </c>
      <c r="I13" s="6">
        <v>7</v>
      </c>
      <c r="J13" s="6">
        <v>46</v>
      </c>
      <c r="K13" s="6">
        <v>3</v>
      </c>
    </row>
    <row r="14" spans="1:16" ht="16.5" customHeight="1" x14ac:dyDescent="0.35">
      <c r="A14" s="38" t="s">
        <v>17</v>
      </c>
      <c r="B14" s="4" t="s">
        <v>21</v>
      </c>
      <c r="C14" s="8" t="s">
        <v>26</v>
      </c>
      <c r="D14" s="4">
        <v>11</v>
      </c>
      <c r="E14" s="12">
        <v>8</v>
      </c>
      <c r="F14" s="4">
        <v>1</v>
      </c>
      <c r="G14" s="4">
        <v>4</v>
      </c>
      <c r="H14" s="4">
        <v>4</v>
      </c>
      <c r="I14" s="4">
        <v>1</v>
      </c>
      <c r="J14" s="4">
        <v>10</v>
      </c>
      <c r="K14" s="4">
        <v>18</v>
      </c>
      <c r="M14">
        <f>SUM(D14:E16)/6</f>
        <v>6.833333333333333</v>
      </c>
      <c r="N14">
        <f>SUM(F14:G16)/6</f>
        <v>7.666666666666667</v>
      </c>
      <c r="O14">
        <f>SUM(H14:I16)/6</f>
        <v>2.8333333333333335</v>
      </c>
      <c r="P14">
        <f>SUM(J14:K16)/6</f>
        <v>14.5</v>
      </c>
    </row>
    <row r="15" spans="1:16" ht="16.5" customHeight="1" x14ac:dyDescent="0.35">
      <c r="A15" s="32"/>
      <c r="B15" s="5" t="s">
        <v>3</v>
      </c>
      <c r="C15" s="9" t="s">
        <v>27</v>
      </c>
      <c r="D15" s="5">
        <v>6</v>
      </c>
      <c r="E15" s="13">
        <v>5</v>
      </c>
      <c r="F15" s="5">
        <v>9</v>
      </c>
      <c r="G15" s="5">
        <v>9</v>
      </c>
      <c r="H15" s="5">
        <v>1</v>
      </c>
      <c r="I15" s="5">
        <v>4</v>
      </c>
      <c r="J15" s="5">
        <v>4</v>
      </c>
      <c r="K15" s="5">
        <v>31</v>
      </c>
    </row>
    <row r="16" spans="1:16" ht="16.5" customHeight="1" thickBot="1" x14ac:dyDescent="0.4">
      <c r="A16" s="33"/>
      <c r="B16" s="6" t="s">
        <v>4</v>
      </c>
      <c r="C16" s="10" t="s">
        <v>28</v>
      </c>
      <c r="D16" s="6">
        <v>7</v>
      </c>
      <c r="E16" s="14">
        <v>4</v>
      </c>
      <c r="F16" s="6">
        <v>22</v>
      </c>
      <c r="G16" s="6">
        <v>1</v>
      </c>
      <c r="H16" s="6">
        <v>3</v>
      </c>
      <c r="I16" s="6">
        <v>4</v>
      </c>
      <c r="J16" s="6">
        <v>16</v>
      </c>
      <c r="K16" s="6">
        <v>8</v>
      </c>
    </row>
    <row r="17" spans="1:16" ht="16.5" customHeight="1" x14ac:dyDescent="0.35">
      <c r="A17" s="38" t="s">
        <v>19</v>
      </c>
      <c r="B17" s="11" t="s">
        <v>21</v>
      </c>
      <c r="C17" s="20" t="s">
        <v>29</v>
      </c>
      <c r="D17" s="11">
        <v>12</v>
      </c>
      <c r="E17" s="16">
        <v>9</v>
      </c>
      <c r="F17" s="11">
        <v>2</v>
      </c>
      <c r="G17" s="11">
        <v>4</v>
      </c>
      <c r="H17" s="11">
        <v>4</v>
      </c>
      <c r="I17" s="11">
        <v>1</v>
      </c>
      <c r="J17" s="11">
        <v>13</v>
      </c>
      <c r="K17" s="11">
        <v>13</v>
      </c>
      <c r="M17">
        <f>SUM(D17:E19)/6</f>
        <v>8.1666666666666661</v>
      </c>
      <c r="N17">
        <f>SUM(F17:G19)/6</f>
        <v>9.5</v>
      </c>
      <c r="O17">
        <f>SUM(H17:I19)/6</f>
        <v>5</v>
      </c>
      <c r="P17">
        <f>SUM(J17:K19)/6</f>
        <v>16.666666666666668</v>
      </c>
    </row>
    <row r="18" spans="1:16" ht="16.5" customHeight="1" x14ac:dyDescent="0.35">
      <c r="A18" s="32"/>
      <c r="B18" s="5" t="s">
        <v>3</v>
      </c>
      <c r="C18" s="9" t="s">
        <v>30</v>
      </c>
      <c r="D18" s="5">
        <v>8</v>
      </c>
      <c r="E18" s="13">
        <v>6</v>
      </c>
      <c r="F18" s="5">
        <v>10</v>
      </c>
      <c r="G18" s="5">
        <v>5</v>
      </c>
      <c r="H18" s="5">
        <v>4</v>
      </c>
      <c r="I18" s="5">
        <v>9</v>
      </c>
      <c r="J18" s="5">
        <v>15</v>
      </c>
      <c r="K18" s="5">
        <v>14</v>
      </c>
    </row>
    <row r="19" spans="1:16" ht="16.5" customHeight="1" thickBot="1" x14ac:dyDescent="0.4">
      <c r="A19" s="33"/>
      <c r="B19" s="6" t="s">
        <v>4</v>
      </c>
      <c r="C19" s="10" t="s">
        <v>31</v>
      </c>
      <c r="D19" s="6">
        <v>8</v>
      </c>
      <c r="E19" s="14">
        <v>6</v>
      </c>
      <c r="F19" s="6">
        <v>20</v>
      </c>
      <c r="G19" s="6">
        <v>16</v>
      </c>
      <c r="H19" s="6">
        <v>3</v>
      </c>
      <c r="I19" s="6">
        <v>9</v>
      </c>
      <c r="J19" s="6">
        <v>16</v>
      </c>
      <c r="K19" s="6">
        <v>29</v>
      </c>
    </row>
    <row r="20" spans="1:16" x14ac:dyDescent="0.35">
      <c r="M20">
        <f>SUM(M5:M17)/5</f>
        <v>6</v>
      </c>
      <c r="N20">
        <f t="shared" ref="N20:P20" si="0">SUM(N5:N17)/5</f>
        <v>10.733333333333333</v>
      </c>
      <c r="O20">
        <f t="shared" si="0"/>
        <v>5.0999999999999996</v>
      </c>
      <c r="P20">
        <f t="shared" si="0"/>
        <v>14.7</v>
      </c>
    </row>
    <row r="21" spans="1:16" x14ac:dyDescent="0.35">
      <c r="A21" t="s">
        <v>57</v>
      </c>
      <c r="B21">
        <f>SUM(D5:K19)/120</f>
        <v>9.0916666666666668</v>
      </c>
    </row>
    <row r="22" spans="1:16" x14ac:dyDescent="0.35">
      <c r="A22" t="s">
        <v>55</v>
      </c>
      <c r="B22">
        <f>MIN(D5:K19)</f>
        <v>1</v>
      </c>
    </row>
    <row r="23" spans="1:16" x14ac:dyDescent="0.35">
      <c r="A23" t="s">
        <v>56</v>
      </c>
      <c r="B23">
        <f>MAX(D5:K19)</f>
        <v>91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workbookViewId="0">
      <selection activeCell="D1" sqref="D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9.08984375" customWidth="1"/>
    <col min="14" max="14" width="11.7265625" bestFit="1" customWidth="1"/>
  </cols>
  <sheetData>
    <row r="1" spans="1:16" x14ac:dyDescent="0.35">
      <c r="A1" t="s">
        <v>38</v>
      </c>
      <c r="C1" s="1" t="s">
        <v>49</v>
      </c>
    </row>
    <row r="2" spans="1:16" ht="15" thickBot="1" x14ac:dyDescent="0.4"/>
    <row r="3" spans="1:16" ht="15" thickBot="1" x14ac:dyDescent="0.4">
      <c r="D3" s="34" t="s">
        <v>8</v>
      </c>
      <c r="E3" s="35"/>
      <c r="F3" s="34" t="s">
        <v>9</v>
      </c>
      <c r="G3" s="35"/>
      <c r="H3" s="36" t="s">
        <v>11</v>
      </c>
      <c r="I3" s="37"/>
      <c r="J3" s="37" t="s">
        <v>18</v>
      </c>
      <c r="K3" s="37"/>
      <c r="M3" t="s">
        <v>70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29" t="s">
        <v>71</v>
      </c>
      <c r="N4" s="29" t="s">
        <v>72</v>
      </c>
      <c r="O4" s="29" t="s">
        <v>73</v>
      </c>
      <c r="P4" s="29" t="s">
        <v>74</v>
      </c>
    </row>
    <row r="5" spans="1:16" ht="16.5" customHeight="1" x14ac:dyDescent="0.35">
      <c r="A5" s="38" t="s">
        <v>1</v>
      </c>
      <c r="B5" s="4" t="s">
        <v>21</v>
      </c>
      <c r="C5" s="8" t="s">
        <v>35</v>
      </c>
      <c r="D5" s="4">
        <v>5.28</v>
      </c>
      <c r="E5" s="12">
        <v>4.41</v>
      </c>
      <c r="F5" s="4">
        <v>3.89</v>
      </c>
      <c r="G5" s="4">
        <v>3.66</v>
      </c>
      <c r="H5" s="4">
        <v>9.52</v>
      </c>
      <c r="I5" s="4">
        <v>3.21</v>
      </c>
      <c r="J5" s="4">
        <v>17.07</v>
      </c>
      <c r="K5" s="4">
        <v>17.21</v>
      </c>
      <c r="M5" s="30">
        <f>MEDIAN(D5:E7)</f>
        <v>4.4050000000000002</v>
      </c>
      <c r="N5" s="30">
        <f>MEDIAN(F5:G7)</f>
        <v>4.45</v>
      </c>
      <c r="O5" s="30">
        <f>MEDIAN(H5:I7)</f>
        <v>5.7349999999999994</v>
      </c>
      <c r="P5" s="30">
        <f>MEDIAN(J5:K7)</f>
        <v>14.275</v>
      </c>
    </row>
    <row r="6" spans="1:16" ht="16.5" customHeight="1" x14ac:dyDescent="0.35">
      <c r="A6" s="32"/>
      <c r="B6" s="5" t="s">
        <v>3</v>
      </c>
      <c r="C6" s="9" t="s">
        <v>36</v>
      </c>
      <c r="D6" s="5">
        <v>3.61</v>
      </c>
      <c r="E6" s="13">
        <v>3.81</v>
      </c>
      <c r="F6" s="5">
        <v>14.39</v>
      </c>
      <c r="G6" s="5">
        <v>3.46</v>
      </c>
      <c r="H6" s="5">
        <v>6.01</v>
      </c>
      <c r="I6" s="5">
        <v>3.2</v>
      </c>
      <c r="J6" s="5">
        <v>6.04</v>
      </c>
      <c r="K6" s="5">
        <v>14.99</v>
      </c>
    </row>
    <row r="7" spans="1:16" ht="16.5" customHeight="1" thickBot="1" x14ac:dyDescent="0.4">
      <c r="A7" s="33"/>
      <c r="B7" s="6" t="s">
        <v>4</v>
      </c>
      <c r="C7" s="10" t="s">
        <v>37</v>
      </c>
      <c r="D7" s="6">
        <v>4.4000000000000004</v>
      </c>
      <c r="E7" s="14">
        <v>5.84</v>
      </c>
      <c r="F7" s="6">
        <v>82</v>
      </c>
      <c r="G7" s="6">
        <v>5.01</v>
      </c>
      <c r="H7" s="6">
        <v>5.46</v>
      </c>
      <c r="I7" s="6">
        <v>10.3</v>
      </c>
      <c r="J7" s="6">
        <v>13.56</v>
      </c>
      <c r="K7" s="6">
        <v>12.22</v>
      </c>
    </row>
    <row r="8" spans="1:16" ht="16.5" customHeight="1" x14ac:dyDescent="0.35">
      <c r="A8" s="39" t="s">
        <v>20</v>
      </c>
      <c r="B8" s="4" t="s">
        <v>21</v>
      </c>
      <c r="C8" s="8" t="s">
        <v>23</v>
      </c>
      <c r="D8" s="4">
        <v>10.74</v>
      </c>
      <c r="E8" s="12">
        <v>10.48</v>
      </c>
      <c r="F8" s="4">
        <v>3.57</v>
      </c>
      <c r="G8" s="24">
        <v>5.8</v>
      </c>
      <c r="H8" s="4">
        <v>7.33</v>
      </c>
      <c r="I8" s="4">
        <v>5.07</v>
      </c>
      <c r="J8" s="4">
        <v>22.51</v>
      </c>
      <c r="K8" s="4">
        <v>8.0399999999999991</v>
      </c>
      <c r="M8" s="30">
        <f>MEDIAN(D8:E10)</f>
        <v>5.6</v>
      </c>
      <c r="N8" s="30">
        <f>MEDIAN(F8:G10)</f>
        <v>5.5350000000000001</v>
      </c>
      <c r="O8" s="30">
        <f>MEDIAN(H8:I10)</f>
        <v>5.1850000000000005</v>
      </c>
      <c r="P8" s="30">
        <f>MEDIAN(J8:K10)</f>
        <v>14.030000000000001</v>
      </c>
    </row>
    <row r="9" spans="1:16" ht="16.5" customHeight="1" x14ac:dyDescent="0.35">
      <c r="A9" s="40"/>
      <c r="B9" s="5" t="s">
        <v>3</v>
      </c>
      <c r="C9" s="9" t="s">
        <v>24</v>
      </c>
      <c r="D9" s="5">
        <v>6.56</v>
      </c>
      <c r="E9" s="13">
        <v>4.6399999999999997</v>
      </c>
      <c r="F9" s="5">
        <v>13.97</v>
      </c>
      <c r="G9" s="18">
        <v>5.27</v>
      </c>
      <c r="H9" s="5">
        <v>5.3</v>
      </c>
      <c r="I9" s="5">
        <v>4.74</v>
      </c>
      <c r="J9" s="5">
        <v>12.46</v>
      </c>
      <c r="K9" s="5">
        <v>15.6</v>
      </c>
    </row>
    <row r="10" spans="1:16" ht="16.5" customHeight="1" thickBot="1" x14ac:dyDescent="0.4">
      <c r="A10" s="41"/>
      <c r="B10" s="6" t="s">
        <v>4</v>
      </c>
      <c r="C10" s="10" t="s">
        <v>25</v>
      </c>
      <c r="D10" s="6">
        <v>3.84</v>
      </c>
      <c r="E10" s="14">
        <v>3.8</v>
      </c>
      <c r="F10" s="6">
        <v>32.54</v>
      </c>
      <c r="G10" s="25">
        <v>3.22</v>
      </c>
      <c r="H10" s="6">
        <v>6.07</v>
      </c>
      <c r="I10" s="6">
        <v>4.78</v>
      </c>
      <c r="J10" s="6">
        <v>10.5</v>
      </c>
      <c r="K10" s="6">
        <v>30.73</v>
      </c>
    </row>
    <row r="11" spans="1:16" ht="16.5" customHeight="1" x14ac:dyDescent="0.35">
      <c r="A11" s="38" t="s">
        <v>2</v>
      </c>
      <c r="B11" s="4" t="s">
        <v>21</v>
      </c>
      <c r="C11" s="8" t="s">
        <v>32</v>
      </c>
      <c r="D11" s="4">
        <v>11.13</v>
      </c>
      <c r="E11" s="12">
        <v>3.12</v>
      </c>
      <c r="F11" s="4">
        <v>3.87</v>
      </c>
      <c r="G11" s="4">
        <v>2.93</v>
      </c>
      <c r="H11" s="4">
        <v>4.4400000000000004</v>
      </c>
      <c r="I11" s="4">
        <v>4.5599999999999996</v>
      </c>
      <c r="J11" s="4">
        <v>14.72</v>
      </c>
      <c r="K11" s="4">
        <v>13.93</v>
      </c>
      <c r="M11" s="30">
        <f>MEDIAN(D11:E13)</f>
        <v>5.1750000000000007</v>
      </c>
      <c r="N11" s="30">
        <f>MEDIAN(F11:G13)</f>
        <v>5.9949999999999992</v>
      </c>
      <c r="O11" s="30">
        <f>MEDIAN(H11:I13)</f>
        <v>8.745000000000001</v>
      </c>
      <c r="P11" s="30">
        <f>MEDIAN(J11:K13)</f>
        <v>12.21</v>
      </c>
    </row>
    <row r="12" spans="1:16" ht="16.5" customHeight="1" x14ac:dyDescent="0.35">
      <c r="A12" s="32"/>
      <c r="B12" s="5" t="s">
        <v>3</v>
      </c>
      <c r="C12" s="9" t="s">
        <v>33</v>
      </c>
      <c r="D12" s="5">
        <v>14.47</v>
      </c>
      <c r="E12" s="15">
        <v>5.23</v>
      </c>
      <c r="F12" s="5">
        <v>11.64</v>
      </c>
      <c r="G12" s="5">
        <v>2.92</v>
      </c>
      <c r="H12" s="5">
        <v>6.32</v>
      </c>
      <c r="I12" s="5">
        <v>15.43</v>
      </c>
      <c r="J12" s="5">
        <v>10.49</v>
      </c>
      <c r="K12" s="5">
        <v>8.09</v>
      </c>
    </row>
    <row r="13" spans="1:16" ht="16.5" customHeight="1" thickBot="1" x14ac:dyDescent="0.4">
      <c r="A13" s="33"/>
      <c r="B13" s="6" t="s">
        <v>4</v>
      </c>
      <c r="C13" s="10" t="s">
        <v>34</v>
      </c>
      <c r="D13" s="6">
        <v>5.1100000000000003</v>
      </c>
      <c r="E13" s="14">
        <v>5.12</v>
      </c>
      <c r="F13" s="6">
        <v>23.94</v>
      </c>
      <c r="G13" s="6">
        <v>8.1199999999999992</v>
      </c>
      <c r="H13" s="6">
        <v>14.63</v>
      </c>
      <c r="I13" s="6">
        <v>11.17</v>
      </c>
      <c r="J13" s="6">
        <v>50.09</v>
      </c>
      <c r="K13" s="6">
        <v>4.1100000000000003</v>
      </c>
    </row>
    <row r="14" spans="1:16" ht="16.5" customHeight="1" x14ac:dyDescent="0.35">
      <c r="A14" s="38" t="s">
        <v>17</v>
      </c>
      <c r="B14" s="4" t="s">
        <v>21</v>
      </c>
      <c r="C14" s="8" t="s">
        <v>26</v>
      </c>
      <c r="D14" s="4">
        <v>10.86</v>
      </c>
      <c r="E14" s="12">
        <v>5.95</v>
      </c>
      <c r="F14" s="4">
        <v>2.89</v>
      </c>
      <c r="G14" s="4">
        <v>3.31</v>
      </c>
      <c r="H14" s="4">
        <v>4.51</v>
      </c>
      <c r="I14" s="4">
        <v>1.96</v>
      </c>
      <c r="J14" s="4">
        <v>7.66</v>
      </c>
      <c r="K14" s="4">
        <v>13.03</v>
      </c>
      <c r="M14" s="30">
        <f>MEDIAN(D14:E16)</f>
        <v>5.8450000000000006</v>
      </c>
      <c r="N14" s="30">
        <f>MEDIAN(F14:G16)</f>
        <v>5.93</v>
      </c>
      <c r="O14" s="30">
        <f>MEDIAN(H14:I16)</f>
        <v>3.4449999999999998</v>
      </c>
      <c r="P14" s="30">
        <f>MEDIAN(J14:K16)</f>
        <v>11.23</v>
      </c>
    </row>
    <row r="15" spans="1:16" ht="16.5" customHeight="1" x14ac:dyDescent="0.35">
      <c r="A15" s="32"/>
      <c r="B15" s="5" t="s">
        <v>3</v>
      </c>
      <c r="C15" s="9" t="s">
        <v>27</v>
      </c>
      <c r="D15" s="5">
        <v>6.63</v>
      </c>
      <c r="E15" s="13">
        <v>5.08</v>
      </c>
      <c r="F15" s="5">
        <v>8.5500000000000007</v>
      </c>
      <c r="G15" s="5">
        <v>14.92</v>
      </c>
      <c r="H15" s="5">
        <v>1.95</v>
      </c>
      <c r="I15" s="5">
        <v>4.7300000000000004</v>
      </c>
      <c r="J15" s="5">
        <v>4.67</v>
      </c>
      <c r="K15" s="5">
        <v>21.83</v>
      </c>
    </row>
    <row r="16" spans="1:16" ht="16.5" customHeight="1" thickBot="1" x14ac:dyDescent="0.4">
      <c r="A16" s="33"/>
      <c r="B16" s="6" t="s">
        <v>4</v>
      </c>
      <c r="C16" s="10" t="s">
        <v>28</v>
      </c>
      <c r="D16" s="6">
        <v>5.74</v>
      </c>
      <c r="E16" s="14">
        <v>4.6900000000000004</v>
      </c>
      <c r="F16" s="6">
        <v>23.37</v>
      </c>
      <c r="G16" s="6">
        <v>2.38</v>
      </c>
      <c r="H16" s="6">
        <v>5.15</v>
      </c>
      <c r="I16" s="6">
        <v>2.38</v>
      </c>
      <c r="J16" s="6">
        <v>14.82</v>
      </c>
      <c r="K16" s="6">
        <v>9.43</v>
      </c>
    </row>
    <row r="17" spans="1:16" ht="16.5" customHeight="1" x14ac:dyDescent="0.35">
      <c r="A17" s="31" t="s">
        <v>19</v>
      </c>
      <c r="B17" s="11" t="s">
        <v>21</v>
      </c>
      <c r="C17" s="20" t="s">
        <v>29</v>
      </c>
      <c r="D17" s="11">
        <v>7.53</v>
      </c>
      <c r="E17" s="16">
        <v>8.26</v>
      </c>
      <c r="F17" s="11">
        <v>2.29</v>
      </c>
      <c r="G17" s="11">
        <v>6.08</v>
      </c>
      <c r="H17" s="11">
        <v>3.35</v>
      </c>
      <c r="I17" s="11">
        <v>1.87</v>
      </c>
      <c r="J17" s="11">
        <v>9.31</v>
      </c>
      <c r="K17" s="11">
        <v>10.57</v>
      </c>
      <c r="M17" s="30">
        <f>MEDIAN(D17:E19)</f>
        <v>7.4399999999999995</v>
      </c>
      <c r="N17" s="30">
        <f>MEDIAN(F17:G19)</f>
        <v>7.72</v>
      </c>
      <c r="O17" s="30">
        <f>MEDIAN(H17:I19)</f>
        <v>3.395</v>
      </c>
      <c r="P17" s="30">
        <f>MEDIAN(J17:K19)</f>
        <v>11.64</v>
      </c>
    </row>
    <row r="18" spans="1:16" ht="16.5" customHeight="1" x14ac:dyDescent="0.35">
      <c r="A18" s="32"/>
      <c r="B18" s="5" t="s">
        <v>3</v>
      </c>
      <c r="C18" s="9" t="s">
        <v>30</v>
      </c>
      <c r="D18" s="5">
        <v>5.55</v>
      </c>
      <c r="E18" s="13">
        <v>11.51</v>
      </c>
      <c r="F18" s="5">
        <v>12.5</v>
      </c>
      <c r="G18" s="5">
        <v>5.86</v>
      </c>
      <c r="H18" s="5">
        <v>3.44</v>
      </c>
      <c r="I18" s="5">
        <v>8.48</v>
      </c>
      <c r="J18" s="5">
        <v>12</v>
      </c>
      <c r="K18" s="5">
        <v>19.79</v>
      </c>
    </row>
    <row r="19" spans="1:16" ht="16.5" customHeight="1" thickBot="1" x14ac:dyDescent="0.4">
      <c r="A19" s="33"/>
      <c r="B19" s="6" t="s">
        <v>4</v>
      </c>
      <c r="C19" s="10" t="s">
        <v>31</v>
      </c>
      <c r="D19" s="6">
        <v>7.35</v>
      </c>
      <c r="E19" s="14">
        <v>4.26</v>
      </c>
      <c r="F19" s="6">
        <v>21.05</v>
      </c>
      <c r="G19" s="6">
        <v>9.36</v>
      </c>
      <c r="H19" s="6">
        <v>2.2400000000000002</v>
      </c>
      <c r="I19" s="6">
        <v>13.1</v>
      </c>
      <c r="J19" s="6">
        <v>11.28</v>
      </c>
      <c r="K19" s="6">
        <v>19.11</v>
      </c>
    </row>
    <row r="20" spans="1:16" x14ac:dyDescent="0.35">
      <c r="M20">
        <f>SUM(M5:M17)/5</f>
        <v>5.6929999999999996</v>
      </c>
      <c r="N20">
        <f t="shared" ref="N20:P20" si="0">SUM(N5:N17)/5</f>
        <v>5.9259999999999993</v>
      </c>
      <c r="O20">
        <f t="shared" si="0"/>
        <v>5.3010000000000002</v>
      </c>
      <c r="P20">
        <f t="shared" si="0"/>
        <v>12.677000000000001</v>
      </c>
    </row>
    <row r="21" spans="1:16" x14ac:dyDescent="0.35">
      <c r="L21" t="s">
        <v>54</v>
      </c>
      <c r="M21">
        <f>MEDIAN(D5:E19)</f>
        <v>5.415</v>
      </c>
      <c r="N21">
        <f>MEDIAN(F5:G19)</f>
        <v>5.83</v>
      </c>
      <c r="O21">
        <f>MEDIAN(H5:I19)</f>
        <v>4.9250000000000007</v>
      </c>
      <c r="P21">
        <f>MEDIAN(J5:K19)</f>
        <v>12.745000000000001</v>
      </c>
    </row>
    <row r="22" spans="1:16" x14ac:dyDescent="0.35">
      <c r="A22" t="s">
        <v>39</v>
      </c>
      <c r="C22" s="1" t="s">
        <v>47</v>
      </c>
      <c r="D22" t="s">
        <v>50</v>
      </c>
      <c r="E22" t="s">
        <v>54</v>
      </c>
      <c r="F22">
        <f>MEDIAN(D5:K19)</f>
        <v>6.2</v>
      </c>
    </row>
    <row r="23" spans="1:16" x14ac:dyDescent="0.35">
      <c r="E23" t="s">
        <v>55</v>
      </c>
      <c r="F23">
        <f>MIN(D5:K19)</f>
        <v>1.87</v>
      </c>
    </row>
    <row r="24" spans="1:16" x14ac:dyDescent="0.35">
      <c r="E24" t="s">
        <v>56</v>
      </c>
      <c r="F24">
        <f>MAX(D5:K19)</f>
        <v>82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eval run syntax</vt:lpstr>
      <vt:lpstr>eval run redundancy</vt:lpstr>
      <vt:lpstr>eval run correctness</vt:lpstr>
      <vt:lpstr>correctness-by-task</vt:lpstr>
      <vt:lpstr>sizes-no-redundant</vt:lpstr>
      <vt:lpstr>sizes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Juan de Lara Jaramillo</cp:lastModifiedBy>
  <dcterms:created xsi:type="dcterms:W3CDTF">2025-11-20T13:59:16Z</dcterms:created>
  <dcterms:modified xsi:type="dcterms:W3CDTF">2026-03-12T08:11:52Z</dcterms:modified>
</cp:coreProperties>
</file>