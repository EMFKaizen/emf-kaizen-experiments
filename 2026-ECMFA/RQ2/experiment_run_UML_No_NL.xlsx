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\emf-kaizen-experiments\2026-ECMFA\RQ2\"/>
    </mc:Choice>
  </mc:AlternateContent>
  <xr:revisionPtr revIDLastSave="0" documentId="13_ncr:1_{D2E4DABB-F8C5-4980-8D4C-8BD6095BDC38}" xr6:coauthVersionLast="47" xr6:coauthVersionMax="47" xr10:uidLastSave="{00000000-0000-0000-0000-000000000000}"/>
  <bookViews>
    <workbookView xWindow="-120" yWindow="-120" windowWidth="29040" windowHeight="15720" tabRatio="718" activeTab="4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sizes" sheetId="8" r:id="rId4"/>
    <sheet name="eval run tim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8" l="1"/>
  <c r="B10" i="8"/>
  <c r="B8" i="8"/>
  <c r="F11" i="6"/>
  <c r="F10" i="6"/>
  <c r="F9" i="6"/>
  <c r="E10" i="3"/>
  <c r="F10" i="3" s="1"/>
  <c r="E11" i="3"/>
  <c r="F11" i="3" s="1"/>
  <c r="E12" i="3"/>
  <c r="F12" i="3" s="1"/>
  <c r="E9" i="3"/>
  <c r="F9" i="3" s="1"/>
  <c r="F11" i="4"/>
  <c r="G11" i="4" s="1"/>
  <c r="F10" i="4"/>
  <c r="G10" i="4" s="1"/>
  <c r="F9" i="4"/>
  <c r="G9" i="4" s="1"/>
  <c r="D10" i="5"/>
  <c r="E10" i="5" s="1"/>
  <c r="D11" i="5"/>
  <c r="E11" i="5" s="1"/>
  <c r="D9" i="5"/>
  <c r="E9" i="5" s="1"/>
</calcChain>
</file>

<file path=xl/sharedStrings.xml><?xml version="1.0" encoding="utf-8"?>
<sst xmlns="http://schemas.openxmlformats.org/spreadsheetml/2006/main" count="153" uniqueCount="43">
  <si>
    <t>Meta-models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</si>
  <si>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</si>
  <si>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</si>
  <si>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</si>
  <si>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</si>
  <si>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</si>
  <si>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</si>
  <si>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</si>
  <si>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</si>
  <si>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</si>
  <si>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</si>
  <si>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</si>
  <si>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</si>
  <si>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</si>
  <si>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</si>
  <si>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domain-descriptive requests</t>
  </si>
  <si>
    <t>model0</t>
  </si>
  <si>
    <t>Description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</si>
  <si>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</si>
  <si>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</si>
  <si>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</si>
  <si>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</si>
  <si>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</si>
  <si>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</si>
  <si>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</si>
  <si>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</si>
  <si>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</si>
  <si>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time taken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</si>
  <si>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</si>
  <si>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</si>
  <si>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</si>
  <si>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</si>
  <si>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</si>
  <si>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</si>
  <si>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</si>
  <si>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</si>
  <si>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gpt-4.o-mini</t>
  </si>
  <si>
    <t>temp: 0.2</t>
  </si>
  <si>
    <t>UML2</t>
  </si>
  <si>
    <t>empty</t>
  </si>
  <si>
    <t>pizzeria</t>
  </si>
  <si>
    <t>ordering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</si>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</sst>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Normal="100"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6.85546875" style="1" customWidth="1"/>
    <col min="4" max="11" width="11.28515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9" t="s">
        <v>6</v>
      </c>
      <c r="E2" s="20"/>
      <c r="F2" s="19" t="s">
        <v>7</v>
      </c>
      <c r="G2" s="20"/>
      <c r="H2" s="21" t="s">
        <v>9</v>
      </c>
      <c r="I2" s="22"/>
      <c r="J2" s="21" t="s">
        <v>15</v>
      </c>
      <c r="K2" s="22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14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thickBot="1" x14ac:dyDescent="0.3">
      <c r="A4" s="23" t="s">
        <v>38</v>
      </c>
      <c r="B4" s="4" t="s">
        <v>16</v>
      </c>
      <c r="C4" s="8" t="s">
        <v>39</v>
      </c>
      <c r="D4" s="28">
        <v>1</v>
      </c>
      <c r="E4" s="29">
        <v>1</v>
      </c>
      <c r="F4" s="28">
        <v>3</v>
      </c>
      <c r="G4" s="28">
        <v>3</v>
      </c>
      <c r="H4" s="28">
        <v>1</v>
      </c>
      <c r="I4" s="28">
        <v>1</v>
      </c>
      <c r="J4" s="28">
        <v>3</v>
      </c>
      <c r="K4" s="28">
        <v>3</v>
      </c>
    </row>
    <row r="5" spans="1:11" ht="16.5" customHeight="1" x14ac:dyDescent="0.25">
      <c r="A5" s="24"/>
      <c r="B5" s="5" t="s">
        <v>1</v>
      </c>
      <c r="C5" s="9" t="s">
        <v>40</v>
      </c>
      <c r="D5" s="28">
        <v>3</v>
      </c>
      <c r="E5" s="28">
        <v>3</v>
      </c>
      <c r="F5" s="30">
        <v>3</v>
      </c>
      <c r="G5" s="31">
        <v>1</v>
      </c>
      <c r="H5" s="30">
        <v>3</v>
      </c>
      <c r="I5" s="30">
        <v>3</v>
      </c>
      <c r="J5" s="30">
        <v>3</v>
      </c>
      <c r="K5" s="30">
        <v>3</v>
      </c>
    </row>
    <row r="6" spans="1:11" ht="16.5" customHeight="1" thickBot="1" x14ac:dyDescent="0.3">
      <c r="A6" s="25"/>
      <c r="B6" s="6" t="s">
        <v>2</v>
      </c>
      <c r="C6" s="10" t="s">
        <v>41</v>
      </c>
      <c r="D6" s="32">
        <v>1</v>
      </c>
      <c r="E6" s="33">
        <v>1</v>
      </c>
      <c r="F6" s="32">
        <v>1</v>
      </c>
      <c r="G6" s="33">
        <v>3</v>
      </c>
      <c r="H6" s="33">
        <v>3</v>
      </c>
      <c r="I6" s="33">
        <v>3</v>
      </c>
      <c r="J6" s="33">
        <v>3</v>
      </c>
      <c r="K6" s="33">
        <v>3</v>
      </c>
    </row>
    <row r="8" spans="1:11" x14ac:dyDescent="0.25">
      <c r="E8" t="s">
        <v>30</v>
      </c>
      <c r="F8" t="s">
        <v>31</v>
      </c>
    </row>
    <row r="9" spans="1:11" x14ac:dyDescent="0.25">
      <c r="A9" t="s">
        <v>19</v>
      </c>
      <c r="B9">
        <v>1</v>
      </c>
      <c r="C9" s="1" t="s">
        <v>20</v>
      </c>
      <c r="E9">
        <f>COUNTIF(D$4:K$6,B9)</f>
        <v>8</v>
      </c>
      <c r="F9">
        <f>100*E9/(3*8)</f>
        <v>33.333333333333336</v>
      </c>
    </row>
    <row r="10" spans="1:11" x14ac:dyDescent="0.25">
      <c r="B10">
        <v>2</v>
      </c>
      <c r="C10" s="1" t="s">
        <v>21</v>
      </c>
      <c r="E10">
        <f>COUNTIF(D$4:K$6,B10)</f>
        <v>0</v>
      </c>
      <c r="F10">
        <f t="shared" ref="F10:F12" si="0">100*E10/(3*8)</f>
        <v>0</v>
      </c>
    </row>
    <row r="11" spans="1:11" x14ac:dyDescent="0.25">
      <c r="B11">
        <v>3</v>
      </c>
      <c r="C11" s="1" t="s">
        <v>22</v>
      </c>
      <c r="E11">
        <f>COUNTIF(D$4:K$6,B11)</f>
        <v>16</v>
      </c>
      <c r="F11">
        <f t="shared" si="0"/>
        <v>66.666666666666671</v>
      </c>
    </row>
    <row r="12" spans="1:11" x14ac:dyDescent="0.25">
      <c r="B12">
        <v>4</v>
      </c>
      <c r="C12" s="1" t="s">
        <v>42</v>
      </c>
      <c r="E12">
        <f>COUNTIF(D$4:K$6,B12)</f>
        <v>0</v>
      </c>
      <c r="F12">
        <f t="shared" si="0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zoomScale="85" zoomScaleNormal="85" workbookViewId="0">
      <selection activeCell="K15" sqref="K15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11.710937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9" t="s">
        <v>6</v>
      </c>
      <c r="E2" s="20"/>
      <c r="F2" s="19" t="s">
        <v>7</v>
      </c>
      <c r="G2" s="20"/>
      <c r="H2" s="26" t="s">
        <v>9</v>
      </c>
      <c r="I2" s="27"/>
      <c r="J2" s="27" t="s">
        <v>15</v>
      </c>
      <c r="K2" s="27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3" t="s">
        <v>38</v>
      </c>
      <c r="B4" s="4" t="s">
        <v>16</v>
      </c>
      <c r="C4" s="8" t="s">
        <v>39</v>
      </c>
      <c r="D4" s="4">
        <v>1</v>
      </c>
      <c r="E4" s="11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5" spans="1:11" ht="16.5" customHeight="1" x14ac:dyDescent="0.25">
      <c r="A5" s="24"/>
      <c r="B5" s="5" t="s">
        <v>1</v>
      </c>
      <c r="C5" s="9" t="s">
        <v>40</v>
      </c>
      <c r="D5" s="17">
        <v>1</v>
      </c>
      <c r="E5" s="18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</row>
    <row r="6" spans="1:11" ht="16.5" customHeight="1" thickBot="1" x14ac:dyDescent="0.35">
      <c r="A6" s="25"/>
      <c r="B6" s="6" t="s">
        <v>2</v>
      </c>
      <c r="C6" s="10" t="s">
        <v>41</v>
      </c>
      <c r="D6" s="6">
        <v>1</v>
      </c>
      <c r="E6" s="13">
        <v>1</v>
      </c>
      <c r="F6" s="6">
        <v>1</v>
      </c>
      <c r="G6" s="16">
        <v>1</v>
      </c>
      <c r="H6" s="6">
        <v>1</v>
      </c>
      <c r="I6" s="15">
        <v>1</v>
      </c>
      <c r="J6" s="15">
        <v>1</v>
      </c>
      <c r="K6" s="15">
        <v>1</v>
      </c>
    </row>
    <row r="8" spans="1:11" x14ac:dyDescent="0.25">
      <c r="F8" t="s">
        <v>30</v>
      </c>
      <c r="G8" t="s">
        <v>31</v>
      </c>
    </row>
    <row r="9" spans="1:11" x14ac:dyDescent="0.25">
      <c r="A9" t="s">
        <v>19</v>
      </c>
      <c r="B9">
        <v>1</v>
      </c>
      <c r="C9" s="1" t="s">
        <v>20</v>
      </c>
      <c r="F9">
        <f>COUNTIF(D$4:K$6,B9)</f>
        <v>24</v>
      </c>
      <c r="G9">
        <f>100*F9/(3*8)</f>
        <v>100</v>
      </c>
    </row>
    <row r="10" spans="1:11" x14ac:dyDescent="0.25">
      <c r="B10">
        <v>2</v>
      </c>
      <c r="C10" s="1" t="s">
        <v>23</v>
      </c>
      <c r="F10">
        <f>COUNTIF(D$4:K$6,B10)</f>
        <v>0</v>
      </c>
      <c r="G10">
        <f t="shared" ref="G10:G11" si="0">100*F10/(3*8)</f>
        <v>0</v>
      </c>
    </row>
    <row r="11" spans="1:11" x14ac:dyDescent="0.25">
      <c r="B11">
        <v>3</v>
      </c>
      <c r="C11" s="1" t="s">
        <v>29</v>
      </c>
      <c r="F11">
        <f>COUNTIF(D$4:K$6,B11)</f>
        <v>0</v>
      </c>
      <c r="G11">
        <f t="shared" si="0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D10" sqref="D10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7.140625" style="1" customWidth="1"/>
    <col min="4" max="11" width="10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9" t="s">
        <v>6</v>
      </c>
      <c r="E2" s="20"/>
      <c r="F2" s="19" t="s">
        <v>7</v>
      </c>
      <c r="G2" s="20"/>
      <c r="H2" s="21" t="s">
        <v>9</v>
      </c>
      <c r="I2" s="22"/>
      <c r="J2" s="21" t="s">
        <v>15</v>
      </c>
      <c r="K2" s="22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thickBot="1" x14ac:dyDescent="0.3">
      <c r="A4" s="23" t="s">
        <v>38</v>
      </c>
      <c r="B4" s="4" t="s">
        <v>16</v>
      </c>
      <c r="C4" s="8" t="s">
        <v>39</v>
      </c>
      <c r="D4" s="28">
        <v>3</v>
      </c>
      <c r="E4" s="29">
        <v>2</v>
      </c>
      <c r="F4" s="28">
        <v>3</v>
      </c>
      <c r="G4" s="28">
        <v>1</v>
      </c>
      <c r="H4" s="28">
        <v>1</v>
      </c>
      <c r="I4" s="28">
        <v>2</v>
      </c>
      <c r="J4" s="28">
        <v>2</v>
      </c>
      <c r="K4" s="28">
        <v>2</v>
      </c>
    </row>
    <row r="5" spans="1:11" ht="16.5" customHeight="1" x14ac:dyDescent="0.25">
      <c r="A5" s="24"/>
      <c r="B5" s="5" t="s">
        <v>1</v>
      </c>
      <c r="C5" s="9" t="s">
        <v>40</v>
      </c>
      <c r="D5" s="28">
        <v>3</v>
      </c>
      <c r="E5" s="28">
        <v>3</v>
      </c>
      <c r="F5" s="30">
        <v>3</v>
      </c>
      <c r="G5" s="30">
        <v>2</v>
      </c>
      <c r="H5" s="30">
        <v>3</v>
      </c>
      <c r="I5" s="30">
        <v>3</v>
      </c>
      <c r="J5" s="30">
        <v>3</v>
      </c>
      <c r="K5" s="30">
        <v>3</v>
      </c>
    </row>
    <row r="6" spans="1:11" ht="16.5" customHeight="1" thickBot="1" x14ac:dyDescent="0.35">
      <c r="A6" s="25"/>
      <c r="B6" s="6" t="s">
        <v>2</v>
      </c>
      <c r="C6" s="10" t="s">
        <v>41</v>
      </c>
      <c r="D6" s="32">
        <v>3</v>
      </c>
      <c r="E6" s="33">
        <v>3</v>
      </c>
      <c r="F6" s="32">
        <v>3</v>
      </c>
      <c r="G6" s="32">
        <v>3</v>
      </c>
      <c r="H6" s="32">
        <v>3</v>
      </c>
      <c r="I6" s="34">
        <v>3</v>
      </c>
      <c r="J6" s="34">
        <v>2</v>
      </c>
      <c r="K6" s="32">
        <v>2</v>
      </c>
    </row>
    <row r="8" spans="1:11" x14ac:dyDescent="0.25">
      <c r="D8" t="s">
        <v>30</v>
      </c>
      <c r="E8" t="s">
        <v>31</v>
      </c>
    </row>
    <row r="9" spans="1:11" x14ac:dyDescent="0.25">
      <c r="A9" t="s">
        <v>19</v>
      </c>
      <c r="B9">
        <v>1</v>
      </c>
      <c r="C9" s="1" t="s">
        <v>24</v>
      </c>
      <c r="D9">
        <f>COUNTIF(D$4:K$6,B9)</f>
        <v>2</v>
      </c>
      <c r="E9">
        <f>100*D9/(3*8)</f>
        <v>8.3333333333333339</v>
      </c>
    </row>
    <row r="10" spans="1:11" x14ac:dyDescent="0.25">
      <c r="B10">
        <v>2</v>
      </c>
      <c r="C10" s="1" t="s">
        <v>25</v>
      </c>
      <c r="D10">
        <f>COUNTIF(D$4:K$6,B10)</f>
        <v>7</v>
      </c>
      <c r="E10">
        <f t="shared" ref="E10:E11" si="0">100*D10/(3*8)</f>
        <v>29.166666666666668</v>
      </c>
    </row>
    <row r="11" spans="1:11" x14ac:dyDescent="0.25">
      <c r="B11">
        <v>3</v>
      </c>
      <c r="C11" s="1" t="s">
        <v>26</v>
      </c>
      <c r="D11">
        <f>COUNTIF(D$4:K$6,B11)</f>
        <v>15</v>
      </c>
      <c r="E11">
        <f t="shared" si="0"/>
        <v>62.5</v>
      </c>
    </row>
  </sheetData>
  <mergeCells count="5">
    <mergeCell ref="D2:E2"/>
    <mergeCell ref="F2:G2"/>
    <mergeCell ref="H2:I2"/>
    <mergeCell ref="J2:K2"/>
    <mergeCell ref="A4:A6"/>
  </mergeCells>
  <conditionalFormatting sqref="D4:K4 D6:K6 D5:E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K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B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5.42578125" style="1" customWidth="1"/>
    <col min="4" max="11" width="14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9" t="s">
        <v>6</v>
      </c>
      <c r="E2" s="20"/>
      <c r="F2" s="19" t="s">
        <v>7</v>
      </c>
      <c r="G2" s="20"/>
      <c r="H2" s="21" t="s">
        <v>9</v>
      </c>
      <c r="I2" s="22"/>
      <c r="J2" s="21" t="s">
        <v>15</v>
      </c>
      <c r="K2" s="22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3" t="s">
        <v>38</v>
      </c>
      <c r="B4" s="4" t="s">
        <v>16</v>
      </c>
      <c r="C4" s="8" t="s">
        <v>39</v>
      </c>
      <c r="D4" s="4">
        <v>5</v>
      </c>
      <c r="E4" s="11">
        <v>5</v>
      </c>
      <c r="F4" s="4">
        <v>8</v>
      </c>
      <c r="G4" s="4">
        <v>9</v>
      </c>
      <c r="H4" s="4">
        <v>1</v>
      </c>
      <c r="I4" s="4">
        <v>8</v>
      </c>
      <c r="J4" s="4">
        <v>3</v>
      </c>
      <c r="K4" s="4">
        <v>4</v>
      </c>
    </row>
    <row r="5" spans="1:11" ht="16.5" customHeight="1" x14ac:dyDescent="0.25">
      <c r="A5" s="24"/>
      <c r="B5" s="5" t="s">
        <v>1</v>
      </c>
      <c r="C5" s="9" t="s">
        <v>40</v>
      </c>
      <c r="D5" s="5">
        <v>2</v>
      </c>
      <c r="E5" s="12">
        <v>2</v>
      </c>
      <c r="F5" s="5">
        <v>4</v>
      </c>
      <c r="G5" s="5">
        <v>1</v>
      </c>
      <c r="H5" s="5">
        <v>6</v>
      </c>
      <c r="I5" s="5">
        <v>4</v>
      </c>
      <c r="J5" s="5">
        <v>8</v>
      </c>
      <c r="K5" s="5">
        <v>10</v>
      </c>
    </row>
    <row r="6" spans="1:11" ht="16.5" customHeight="1" thickBot="1" x14ac:dyDescent="0.35">
      <c r="A6" s="25"/>
      <c r="B6" s="6" t="s">
        <v>2</v>
      </c>
      <c r="C6" s="10" t="s">
        <v>41</v>
      </c>
      <c r="D6" s="6">
        <v>9</v>
      </c>
      <c r="E6" s="13">
        <v>2</v>
      </c>
      <c r="F6" s="6">
        <v>1</v>
      </c>
      <c r="G6" s="6">
        <v>10</v>
      </c>
      <c r="H6" s="6">
        <v>6</v>
      </c>
      <c r="I6" s="15">
        <v>14</v>
      </c>
      <c r="J6" s="15">
        <v>7</v>
      </c>
      <c r="K6" s="6">
        <v>7</v>
      </c>
    </row>
    <row r="8" spans="1:11" x14ac:dyDescent="0.25">
      <c r="A8" t="s">
        <v>35</v>
      </c>
      <c r="B8">
        <f>SUM(D4:K6)/24</f>
        <v>5.666666666666667</v>
      </c>
    </row>
    <row r="9" spans="1:11" x14ac:dyDescent="0.25">
      <c r="A9" t="s">
        <v>33</v>
      </c>
      <c r="B9">
        <f t="shared" ref="B9:B10" si="0">SUM(D5:K7)/24</f>
        <v>3.875</v>
      </c>
    </row>
    <row r="10" spans="1:11" x14ac:dyDescent="0.25">
      <c r="A10" t="s">
        <v>34</v>
      </c>
      <c r="B10">
        <f t="shared" si="0"/>
        <v>2.3333333333333335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workbookViewId="0">
      <selection activeCell="E10" sqref="E10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9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9" t="s">
        <v>6</v>
      </c>
      <c r="E2" s="20"/>
      <c r="F2" s="19" t="s">
        <v>7</v>
      </c>
      <c r="G2" s="20"/>
      <c r="H2" s="26" t="s">
        <v>9</v>
      </c>
      <c r="I2" s="27"/>
      <c r="J2" s="27" t="s">
        <v>15</v>
      </c>
      <c r="K2" s="27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3" t="s">
        <v>38</v>
      </c>
      <c r="B4" s="4" t="s">
        <v>16</v>
      </c>
      <c r="C4" s="8" t="s">
        <v>39</v>
      </c>
      <c r="D4" s="4">
        <v>22.54</v>
      </c>
      <c r="E4" s="11">
        <v>25.41</v>
      </c>
      <c r="F4" s="4">
        <v>37.880000000000003</v>
      </c>
      <c r="G4" s="4">
        <v>24.87</v>
      </c>
      <c r="H4" s="4">
        <v>12.52</v>
      </c>
      <c r="I4" s="4">
        <v>21.33</v>
      </c>
      <c r="J4" s="4">
        <v>11.31</v>
      </c>
      <c r="K4" s="4">
        <v>16.43</v>
      </c>
    </row>
    <row r="5" spans="1:11" ht="16.5" customHeight="1" x14ac:dyDescent="0.25">
      <c r="A5" s="24"/>
      <c r="B5" s="5" t="s">
        <v>1</v>
      </c>
      <c r="C5" s="9" t="s">
        <v>40</v>
      </c>
      <c r="D5" s="5">
        <v>17.739999999999998</v>
      </c>
      <c r="E5" s="12">
        <v>12.87</v>
      </c>
      <c r="F5" s="5">
        <v>13.68</v>
      </c>
      <c r="G5" s="5">
        <v>8</v>
      </c>
      <c r="H5" s="5">
        <v>26.48</v>
      </c>
      <c r="I5" s="5">
        <v>21.62</v>
      </c>
      <c r="J5" s="5">
        <v>35.880000000000003</v>
      </c>
      <c r="K5" s="5">
        <v>37.32</v>
      </c>
    </row>
    <row r="6" spans="1:11" ht="16.5" customHeight="1" thickBot="1" x14ac:dyDescent="0.3">
      <c r="A6" s="25"/>
      <c r="B6" s="6" t="s">
        <v>2</v>
      </c>
      <c r="C6" s="10" t="s">
        <v>41</v>
      </c>
      <c r="D6" s="6">
        <v>25.91</v>
      </c>
      <c r="E6" s="13">
        <v>16.7</v>
      </c>
      <c r="F6" s="6">
        <v>9.1300000000000008</v>
      </c>
      <c r="G6" s="6">
        <v>23.52</v>
      </c>
      <c r="H6" s="6">
        <v>31.75</v>
      </c>
      <c r="I6" s="6">
        <v>44.1</v>
      </c>
      <c r="J6" s="6">
        <v>21.46</v>
      </c>
      <c r="K6" s="6">
        <v>21.31</v>
      </c>
    </row>
    <row r="9" spans="1:11" x14ac:dyDescent="0.25">
      <c r="A9" t="s">
        <v>19</v>
      </c>
      <c r="C9" s="1" t="s">
        <v>27</v>
      </c>
      <c r="D9" t="s">
        <v>28</v>
      </c>
      <c r="E9" t="s">
        <v>32</v>
      </c>
      <c r="F9">
        <f>MEDIAN(D4:K6)</f>
        <v>21.54</v>
      </c>
    </row>
    <row r="10" spans="1:11" x14ac:dyDescent="0.25">
      <c r="E10" t="s">
        <v>33</v>
      </c>
      <c r="F10">
        <f>MIN(D4:K6)</f>
        <v>8</v>
      </c>
    </row>
    <row r="11" spans="1:11" x14ac:dyDescent="0.25">
      <c r="E11" t="s">
        <v>34</v>
      </c>
      <c r="F11">
        <f>MAX(D4:K6)</f>
        <v>44.1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eval run syntax</vt:lpstr>
      <vt:lpstr>eval run redundancy</vt:lpstr>
      <vt:lpstr>eval run correctness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2025-11-20T13:59:16Z</dcterms:created>
  <dcterms:modified xsi:type="dcterms:W3CDTF">2026-03-11T20:01:39Z</dcterms:modified>
</cp:coreProperties>
</file>