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yectos\EMF-Kaizen\emf-kaizen-experiments\2026-ECMFA\RQ2\"/>
    </mc:Choice>
  </mc:AlternateContent>
  <xr:revisionPtr revIDLastSave="0" documentId="13_ncr:1_{69EEC536-689F-4701-8599-3E312E97F15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val run syntax" sheetId="3" r:id="rId1"/>
    <sheet name="eval run redundancy" sheetId="4" r:id="rId2"/>
    <sheet name="eval run correctness" sheetId="5" r:id="rId3"/>
    <sheet name="sizes" sheetId="8" r:id="rId4"/>
    <sheet name="eval run tim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8" l="1"/>
  <c r="N9" i="5" l="1"/>
  <c r="O9" i="5" s="1"/>
  <c r="N8" i="5"/>
  <c r="O8" i="5" s="1"/>
  <c r="N7" i="5"/>
  <c r="O7" i="5" s="1"/>
  <c r="N6" i="5"/>
  <c r="O6" i="5" s="1"/>
  <c r="N5" i="5"/>
  <c r="O5" i="5" s="1"/>
  <c r="N4" i="5"/>
  <c r="O4" i="5" s="1"/>
  <c r="N6" i="4"/>
  <c r="O6" i="4" s="1"/>
  <c r="N5" i="4"/>
  <c r="O5" i="4" s="1"/>
  <c r="N4" i="4"/>
  <c r="O4" i="4" s="1"/>
  <c r="R4" i="3"/>
  <c r="R5" i="3" s="1"/>
  <c r="Q4" i="3"/>
  <c r="Q5" i="3" s="1"/>
  <c r="P4" i="3"/>
  <c r="P5" i="3" s="1"/>
  <c r="O4" i="3"/>
  <c r="O5" i="3" s="1"/>
  <c r="N4" i="3"/>
  <c r="N5" i="3" s="1"/>
  <c r="M4" i="3"/>
  <c r="B10" i="8"/>
  <c r="B9" i="8"/>
  <c r="F11" i="6"/>
  <c r="F10" i="6"/>
  <c r="F9" i="6"/>
  <c r="E10" i="3"/>
  <c r="F10" i="3" s="1"/>
  <c r="E11" i="3"/>
  <c r="F11" i="3" s="1"/>
  <c r="E12" i="3"/>
  <c r="F12" i="3" s="1"/>
  <c r="E9" i="3"/>
  <c r="F9" i="3" s="1"/>
  <c r="F11" i="4"/>
  <c r="G11" i="4" s="1"/>
  <c r="F10" i="4"/>
  <c r="G10" i="4" s="1"/>
  <c r="F9" i="4"/>
  <c r="G9" i="4" s="1"/>
  <c r="D13" i="5"/>
  <c r="E13" i="5" s="1"/>
  <c r="D14" i="5"/>
  <c r="E14" i="5" s="1"/>
  <c r="D12" i="5"/>
  <c r="E12" i="5" s="1"/>
  <c r="S4" i="3" l="1"/>
  <c r="M5" i="3"/>
</calcChain>
</file>

<file path=xl/sharedStrings.xml><?xml version="1.0" encoding="utf-8"?>
<sst xmlns="http://schemas.openxmlformats.org/spreadsheetml/2006/main" count="173" uniqueCount="52">
  <si>
    <t>Meta-models</t>
  </si>
  <si>
    <t>model1</t>
  </si>
  <si>
    <t>model2</t>
  </si>
  <si>
    <t>task1</t>
  </si>
  <si>
    <t>task2</t>
  </si>
  <si>
    <t>task3</t>
  </si>
  <si>
    <t>command-like</t>
  </si>
  <si>
    <t>model-based command-like</t>
  </si>
  <si>
    <t>task4</t>
  </si>
  <si>
    <t>recommendation requests</t>
  </si>
  <si>
    <t>task5</t>
  </si>
  <si>
    <t>task6</t>
  </si>
  <si>
    <t>Models</t>
  </si>
  <si>
    <t>task7</t>
  </si>
  <si>
    <t>task8</t>
  </si>
  <si>
    <t>domain-descriptive requests</t>
  </si>
  <si>
    <t>model0</t>
  </si>
  <si>
    <t>Description</t>
  </si>
  <si>
    <t>LLM:</t>
  </si>
  <si>
    <t>Possible values</t>
  </si>
  <si>
    <t>OK</t>
  </si>
  <si>
    <t>Missing attribute</t>
  </si>
  <si>
    <t>Missing reference</t>
  </si>
  <si>
    <t>Has some elements repeated from the current model, unnecesarily</t>
  </si>
  <si>
    <t>Low fidelity</t>
  </si>
  <si>
    <t>Partial fidelity</t>
  </si>
  <si>
    <t>High fidelity</t>
  </si>
  <si>
    <t>time taken</t>
  </si>
  <si>
    <t>time is in seconds</t>
  </si>
  <si>
    <t>Has ALL the model repeated</t>
  </si>
  <si>
    <t>count</t>
  </si>
  <si>
    <t>percentage</t>
  </si>
  <si>
    <t>median</t>
  </si>
  <si>
    <t>min</t>
  </si>
  <si>
    <t>max</t>
  </si>
  <si>
    <t>average</t>
  </si>
  <si>
    <t>TOTAL</t>
  </si>
  <si>
    <t>COUNT</t>
  </si>
  <si>
    <t>PERCENTAGE</t>
  </si>
  <si>
    <t>SOME</t>
  </si>
  <si>
    <t>ALL</t>
  </si>
  <si>
    <t>low</t>
  </si>
  <si>
    <t>partial</t>
  </si>
  <si>
    <t>high</t>
  </si>
  <si>
    <t>gpt-4.o-mini</t>
  </si>
  <si>
    <t>temp: 0.2</t>
  </si>
  <si>
    <t>Adapters</t>
  </si>
  <si>
    <t>UML2</t>
  </si>
  <si>
    <t>empty</t>
  </si>
  <si>
    <t>State machines adaptive lang</t>
  </si>
  <si>
    <t>ClassDiagrams adaptive Lang</t>
  </si>
  <si>
    <t>Incorrect intent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</si>
</sst>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2" borderId="10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" fillId="0" borderId="13" xfId="0" applyFont="1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3" borderId="13" xfId="0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zoomScaleNormal="100" workbookViewId="0">
      <selection activeCell="C13" sqref="C13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6.85546875" style="1" customWidth="1"/>
    <col min="4" max="11" width="11.28515625" customWidth="1"/>
  </cols>
  <sheetData>
    <row r="1" spans="1:19" ht="15.75" thickBot="1" x14ac:dyDescent="0.3">
      <c r="A1" t="s">
        <v>18</v>
      </c>
      <c r="C1" s="1" t="s">
        <v>44</v>
      </c>
      <c r="D1" t="s">
        <v>45</v>
      </c>
    </row>
    <row r="2" spans="1:19" ht="15.75" thickBot="1" x14ac:dyDescent="0.3">
      <c r="D2" s="21" t="s">
        <v>6</v>
      </c>
      <c r="E2" s="22"/>
      <c r="F2" s="21" t="s">
        <v>7</v>
      </c>
      <c r="G2" s="22"/>
      <c r="H2" s="23" t="s">
        <v>9</v>
      </c>
      <c r="I2" s="24"/>
      <c r="J2" s="23" t="s">
        <v>15</v>
      </c>
      <c r="K2" s="24"/>
    </row>
    <row r="3" spans="1:19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14" t="s">
        <v>8</v>
      </c>
      <c r="H3" s="3" t="s">
        <v>10</v>
      </c>
      <c r="I3" s="3" t="s">
        <v>11</v>
      </c>
      <c r="J3" s="3" t="s">
        <v>13</v>
      </c>
      <c r="K3" s="3" t="s">
        <v>14</v>
      </c>
      <c r="M3">
        <v>1</v>
      </c>
      <c r="N3">
        <v>2</v>
      </c>
      <c r="O3">
        <v>3</v>
      </c>
      <c r="P3">
        <v>4</v>
      </c>
      <c r="Q3">
        <v>5</v>
      </c>
      <c r="R3">
        <v>6</v>
      </c>
      <c r="S3" t="s">
        <v>36</v>
      </c>
    </row>
    <row r="4" spans="1:19" ht="16.5" customHeight="1" x14ac:dyDescent="0.25">
      <c r="A4" s="25" t="s">
        <v>46</v>
      </c>
      <c r="B4" s="4" t="s">
        <v>16</v>
      </c>
      <c r="C4" s="8" t="s">
        <v>48</v>
      </c>
      <c r="D4" s="4">
        <v>1</v>
      </c>
      <c r="E4" s="11">
        <v>1</v>
      </c>
      <c r="F4" s="4">
        <v>1</v>
      </c>
      <c r="G4" s="11">
        <v>1</v>
      </c>
      <c r="H4" s="4">
        <v>1</v>
      </c>
      <c r="I4" s="4">
        <v>1</v>
      </c>
      <c r="J4" s="4">
        <v>1</v>
      </c>
      <c r="K4" s="4">
        <v>1</v>
      </c>
      <c r="L4" t="s">
        <v>30</v>
      </c>
      <c r="M4">
        <f>COUNTIF($D4:$K6,M3)</f>
        <v>24</v>
      </c>
      <c r="N4">
        <f t="shared" ref="N4:R4" si="0">COUNTIF($D4:$K6,N3)</f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>SUM(M4:R4)</f>
        <v>24</v>
      </c>
    </row>
    <row r="5" spans="1:19" ht="16.5" customHeight="1" x14ac:dyDescent="0.25">
      <c r="A5" s="26"/>
      <c r="B5" s="5" t="s">
        <v>1</v>
      </c>
      <c r="C5" s="9" t="s">
        <v>49</v>
      </c>
      <c r="D5" s="5">
        <v>1</v>
      </c>
      <c r="E5" s="12">
        <v>1</v>
      </c>
      <c r="F5" s="5">
        <v>1</v>
      </c>
      <c r="G5" s="12">
        <v>1</v>
      </c>
      <c r="H5" s="5">
        <v>1</v>
      </c>
      <c r="I5" s="5">
        <v>1</v>
      </c>
      <c r="J5" s="5">
        <v>1</v>
      </c>
      <c r="K5" s="5">
        <v>1</v>
      </c>
      <c r="L5" t="s">
        <v>31</v>
      </c>
      <c r="M5">
        <f>100*M4/24</f>
        <v>100</v>
      </c>
      <c r="N5">
        <f t="shared" ref="N5:R5" si="1">100*N4/24</f>
        <v>0</v>
      </c>
      <c r="O5">
        <f t="shared" si="1"/>
        <v>0</v>
      </c>
      <c r="P5">
        <f t="shared" si="1"/>
        <v>0</v>
      </c>
      <c r="Q5">
        <f t="shared" si="1"/>
        <v>0</v>
      </c>
      <c r="R5">
        <f t="shared" si="1"/>
        <v>0</v>
      </c>
    </row>
    <row r="6" spans="1:19" ht="16.5" customHeight="1" thickBot="1" x14ac:dyDescent="0.35">
      <c r="A6" s="27"/>
      <c r="B6" s="6" t="s">
        <v>2</v>
      </c>
      <c r="C6" s="10" t="s">
        <v>50</v>
      </c>
      <c r="D6" s="6">
        <v>1</v>
      </c>
      <c r="E6" s="13">
        <v>1</v>
      </c>
      <c r="F6" s="6">
        <v>1</v>
      </c>
      <c r="G6" s="13">
        <v>1</v>
      </c>
      <c r="H6" s="6">
        <v>1</v>
      </c>
      <c r="I6" s="16">
        <v>1</v>
      </c>
      <c r="J6" s="16">
        <v>1</v>
      </c>
      <c r="K6" s="6">
        <v>1</v>
      </c>
    </row>
    <row r="8" spans="1:19" x14ac:dyDescent="0.25">
      <c r="E8" t="s">
        <v>30</v>
      </c>
      <c r="F8" t="s">
        <v>31</v>
      </c>
    </row>
    <row r="9" spans="1:19" x14ac:dyDescent="0.25">
      <c r="A9" t="s">
        <v>19</v>
      </c>
      <c r="B9">
        <v>1</v>
      </c>
      <c r="C9" s="1" t="s">
        <v>20</v>
      </c>
      <c r="E9">
        <f>COUNTIF(D$4:K$6,B9)</f>
        <v>24</v>
      </c>
      <c r="F9">
        <f>100*E9/(3*8)</f>
        <v>100</v>
      </c>
    </row>
    <row r="10" spans="1:19" x14ac:dyDescent="0.25">
      <c r="B10">
        <v>2</v>
      </c>
      <c r="C10" s="1" t="s">
        <v>21</v>
      </c>
      <c r="E10">
        <f>COUNTIF(D$4:K$6,B10)</f>
        <v>0</v>
      </c>
      <c r="F10">
        <f t="shared" ref="F10:F12" si="2">100*E10/(15*8)</f>
        <v>0</v>
      </c>
    </row>
    <row r="11" spans="1:19" x14ac:dyDescent="0.25">
      <c r="B11">
        <v>3</v>
      </c>
      <c r="C11" s="1" t="s">
        <v>22</v>
      </c>
      <c r="E11">
        <f>COUNTIF(D$4:K$6,B11)</f>
        <v>0</v>
      </c>
      <c r="F11">
        <f t="shared" si="2"/>
        <v>0</v>
      </c>
    </row>
    <row r="12" spans="1:19" x14ac:dyDescent="0.25">
      <c r="B12">
        <v>4</v>
      </c>
      <c r="C12" s="1" t="s">
        <v>51</v>
      </c>
      <c r="E12">
        <f>COUNTIF(D$4:K$6,B12)</f>
        <v>0</v>
      </c>
      <c r="F12">
        <f t="shared" si="2"/>
        <v>0</v>
      </c>
    </row>
  </sheetData>
  <mergeCells count="5">
    <mergeCell ref="D2:E2"/>
    <mergeCell ref="F2:G2"/>
    <mergeCell ref="H2:I2"/>
    <mergeCell ref="J2:K2"/>
    <mergeCell ref="A4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"/>
  <sheetViews>
    <sheetView zoomScale="85" zoomScaleNormal="85" workbookViewId="0">
      <selection sqref="A1:D1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4.42578125" style="1" customWidth="1"/>
    <col min="4" max="11" width="11.7109375" customWidth="1"/>
  </cols>
  <sheetData>
    <row r="1" spans="1:15" ht="15.75" thickBot="1" x14ac:dyDescent="0.3">
      <c r="A1" t="s">
        <v>18</v>
      </c>
      <c r="C1" s="1" t="s">
        <v>44</v>
      </c>
      <c r="D1" t="s">
        <v>45</v>
      </c>
    </row>
    <row r="2" spans="1:15" ht="15.75" thickBot="1" x14ac:dyDescent="0.3">
      <c r="D2" s="21" t="s">
        <v>6</v>
      </c>
      <c r="E2" s="22"/>
      <c r="F2" s="21" t="s">
        <v>7</v>
      </c>
      <c r="G2" s="22"/>
      <c r="H2" s="28" t="s">
        <v>9</v>
      </c>
      <c r="I2" s="29"/>
      <c r="J2" s="29" t="s">
        <v>15</v>
      </c>
      <c r="K2" s="29"/>
    </row>
    <row r="3" spans="1:15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  <c r="N3" s="19" t="s">
        <v>37</v>
      </c>
      <c r="O3" s="19" t="s">
        <v>38</v>
      </c>
    </row>
    <row r="4" spans="1:15" ht="16.5" customHeight="1" x14ac:dyDescent="0.25">
      <c r="A4" s="25" t="s">
        <v>46</v>
      </c>
      <c r="B4" s="4" t="s">
        <v>16</v>
      </c>
      <c r="C4" s="8" t="s">
        <v>48</v>
      </c>
      <c r="D4" s="4">
        <v>1</v>
      </c>
      <c r="E4" s="11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1">
        <v>1</v>
      </c>
      <c r="M4" t="s">
        <v>20</v>
      </c>
      <c r="N4">
        <f>COUNTIF(D$4:K$6,L4)</f>
        <v>24</v>
      </c>
      <c r="O4">
        <f>100*N4/24</f>
        <v>100</v>
      </c>
    </row>
    <row r="5" spans="1:15" ht="16.5" customHeight="1" x14ac:dyDescent="0.25">
      <c r="A5" s="26"/>
      <c r="B5" s="5" t="s">
        <v>1</v>
      </c>
      <c r="C5" s="9" t="s">
        <v>49</v>
      </c>
      <c r="D5" s="5">
        <v>1</v>
      </c>
      <c r="E5" s="12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1">
        <v>2</v>
      </c>
      <c r="M5" t="s">
        <v>39</v>
      </c>
      <c r="N5">
        <f t="shared" ref="N5:N6" si="0">COUNTIF(D$4:K$6,L5)</f>
        <v>0</v>
      </c>
      <c r="O5">
        <f t="shared" ref="O5:O6" si="1">100*N5/24</f>
        <v>0</v>
      </c>
    </row>
    <row r="6" spans="1:15" ht="16.5" customHeight="1" thickBot="1" x14ac:dyDescent="0.35">
      <c r="A6" s="27"/>
      <c r="B6" s="6" t="s">
        <v>2</v>
      </c>
      <c r="C6" s="10" t="s">
        <v>50</v>
      </c>
      <c r="D6" s="6">
        <v>1</v>
      </c>
      <c r="E6" s="13">
        <v>1</v>
      </c>
      <c r="F6" s="6">
        <v>1</v>
      </c>
      <c r="G6" s="20">
        <v>1</v>
      </c>
      <c r="H6" s="6">
        <v>1</v>
      </c>
      <c r="I6" s="16">
        <v>1</v>
      </c>
      <c r="J6" s="16">
        <v>1</v>
      </c>
      <c r="K6" s="6">
        <v>1</v>
      </c>
      <c r="L6" s="1">
        <v>3</v>
      </c>
      <c r="M6" t="s">
        <v>40</v>
      </c>
      <c r="N6">
        <f t="shared" si="0"/>
        <v>0</v>
      </c>
      <c r="O6">
        <f t="shared" si="1"/>
        <v>0</v>
      </c>
    </row>
    <row r="8" spans="1:15" x14ac:dyDescent="0.25">
      <c r="F8" t="s">
        <v>30</v>
      </c>
      <c r="G8" t="s">
        <v>31</v>
      </c>
    </row>
    <row r="9" spans="1:15" x14ac:dyDescent="0.25">
      <c r="A9" t="s">
        <v>19</v>
      </c>
      <c r="B9">
        <v>1</v>
      </c>
      <c r="C9" s="1" t="s">
        <v>20</v>
      </c>
      <c r="F9">
        <f>COUNTIF(D$4:K$6,B9)</f>
        <v>24</v>
      </c>
      <c r="G9">
        <f>100*F9/(15*8)</f>
        <v>20</v>
      </c>
    </row>
    <row r="10" spans="1:15" x14ac:dyDescent="0.25">
      <c r="B10">
        <v>2</v>
      </c>
      <c r="C10" s="1" t="s">
        <v>23</v>
      </c>
      <c r="F10">
        <f>COUNTIF(D$4:K$6,B10)</f>
        <v>0</v>
      </c>
      <c r="G10">
        <f t="shared" ref="G10:G11" si="2">100*F10/(15*8)</f>
        <v>0</v>
      </c>
    </row>
    <row r="11" spans="1:15" x14ac:dyDescent="0.25">
      <c r="B11">
        <v>3</v>
      </c>
      <c r="C11" s="1" t="s">
        <v>29</v>
      </c>
      <c r="F11">
        <f>COUNTIF(D$4:K$6,B11)</f>
        <v>0</v>
      </c>
      <c r="G11">
        <f t="shared" si="2"/>
        <v>0</v>
      </c>
    </row>
  </sheetData>
  <mergeCells count="5">
    <mergeCell ref="D2:E2"/>
    <mergeCell ref="F2:G2"/>
    <mergeCell ref="H2:I2"/>
    <mergeCell ref="J2:K2"/>
    <mergeCell ref="A4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"/>
  <sheetViews>
    <sheetView workbookViewId="0">
      <selection sqref="A1:D1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7.140625" style="1" customWidth="1"/>
    <col min="4" max="11" width="10" customWidth="1"/>
  </cols>
  <sheetData>
    <row r="1" spans="1:15" ht="15.75" thickBot="1" x14ac:dyDescent="0.3">
      <c r="A1" t="s">
        <v>18</v>
      </c>
      <c r="C1" s="1" t="s">
        <v>44</v>
      </c>
      <c r="D1" t="s">
        <v>45</v>
      </c>
    </row>
    <row r="2" spans="1:15" ht="15.75" thickBot="1" x14ac:dyDescent="0.3">
      <c r="D2" s="21" t="s">
        <v>6</v>
      </c>
      <c r="E2" s="22"/>
      <c r="F2" s="21" t="s">
        <v>7</v>
      </c>
      <c r="G2" s="22"/>
      <c r="H2" s="23" t="s">
        <v>9</v>
      </c>
      <c r="I2" s="24"/>
      <c r="J2" s="23" t="s">
        <v>15</v>
      </c>
      <c r="K2" s="24"/>
    </row>
    <row r="3" spans="1:15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  <c r="N3" s="19" t="s">
        <v>30</v>
      </c>
      <c r="O3" s="19" t="s">
        <v>31</v>
      </c>
    </row>
    <row r="4" spans="1:15" ht="16.5" customHeight="1" x14ac:dyDescent="0.25">
      <c r="A4" s="25" t="s">
        <v>46</v>
      </c>
      <c r="B4" s="4" t="s">
        <v>16</v>
      </c>
      <c r="C4" s="8" t="s">
        <v>48</v>
      </c>
      <c r="D4" s="4">
        <v>2</v>
      </c>
      <c r="E4" s="11">
        <v>3</v>
      </c>
      <c r="F4" s="4">
        <v>2</v>
      </c>
      <c r="G4" s="4">
        <v>3</v>
      </c>
      <c r="H4" s="4">
        <v>3</v>
      </c>
      <c r="I4" s="4">
        <v>2</v>
      </c>
      <c r="J4" s="4">
        <v>2</v>
      </c>
      <c r="K4" s="4">
        <v>2</v>
      </c>
      <c r="L4" s="1">
        <v>1</v>
      </c>
      <c r="M4" t="s">
        <v>41</v>
      </c>
      <c r="N4">
        <f>COUNTIF(D$4:K$6,L4)</f>
        <v>2</v>
      </c>
      <c r="O4">
        <f>100*N4/24</f>
        <v>8.3333333333333339</v>
      </c>
    </row>
    <row r="5" spans="1:15" ht="16.5" customHeight="1" x14ac:dyDescent="0.25">
      <c r="A5" s="26"/>
      <c r="B5" s="5" t="s">
        <v>1</v>
      </c>
      <c r="C5" s="9" t="s">
        <v>49</v>
      </c>
      <c r="D5" s="5">
        <v>2</v>
      </c>
      <c r="E5" s="12">
        <v>2</v>
      </c>
      <c r="F5" s="5">
        <v>3</v>
      </c>
      <c r="G5" s="5">
        <v>2</v>
      </c>
      <c r="H5" s="5">
        <v>3</v>
      </c>
      <c r="I5" s="5">
        <v>3</v>
      </c>
      <c r="J5" s="5">
        <v>3</v>
      </c>
      <c r="K5" s="5">
        <v>2</v>
      </c>
      <c r="L5" s="1">
        <v>2</v>
      </c>
      <c r="M5" t="s">
        <v>42</v>
      </c>
      <c r="N5">
        <f t="shared" ref="N5:N6" si="0">COUNTIF(D$4:K$6,L5)</f>
        <v>12</v>
      </c>
      <c r="O5">
        <f t="shared" ref="O5:O9" si="1">100*N5/24</f>
        <v>50</v>
      </c>
    </row>
    <row r="6" spans="1:15" ht="16.5" customHeight="1" thickBot="1" x14ac:dyDescent="0.35">
      <c r="A6" s="27"/>
      <c r="B6" s="6" t="s">
        <v>2</v>
      </c>
      <c r="C6" s="10" t="s">
        <v>50</v>
      </c>
      <c r="D6" s="6">
        <v>2</v>
      </c>
      <c r="E6" s="13">
        <v>2</v>
      </c>
      <c r="F6" s="6">
        <v>3</v>
      </c>
      <c r="G6" s="6">
        <v>1</v>
      </c>
      <c r="H6" s="6">
        <v>3</v>
      </c>
      <c r="I6" s="16">
        <v>1</v>
      </c>
      <c r="J6" s="16">
        <v>2</v>
      </c>
      <c r="K6" s="6">
        <v>3</v>
      </c>
      <c r="L6" s="1">
        <v>3</v>
      </c>
      <c r="M6" t="s">
        <v>43</v>
      </c>
      <c r="N6">
        <f t="shared" si="0"/>
        <v>10</v>
      </c>
      <c r="O6">
        <f t="shared" si="1"/>
        <v>41.666666666666664</v>
      </c>
    </row>
    <row r="7" spans="1:15" ht="16.5" customHeight="1" x14ac:dyDescent="0.25">
      <c r="A7" s="30" t="s">
        <v>47</v>
      </c>
      <c r="B7" s="4" t="s">
        <v>16</v>
      </c>
      <c r="C7" s="8"/>
      <c r="D7" s="4"/>
      <c r="E7" s="11"/>
      <c r="F7" s="4"/>
      <c r="G7" s="17"/>
      <c r="H7" s="4"/>
      <c r="I7" s="4"/>
      <c r="J7" s="4"/>
      <c r="K7" s="4"/>
      <c r="L7" s="1">
        <v>1</v>
      </c>
      <c r="M7" t="s">
        <v>41</v>
      </c>
      <c r="N7">
        <f>COUNTIF(D$7:K$9,L7)</f>
        <v>0</v>
      </c>
      <c r="O7">
        <f t="shared" si="1"/>
        <v>0</v>
      </c>
    </row>
    <row r="8" spans="1:15" ht="16.5" customHeight="1" x14ac:dyDescent="0.25">
      <c r="A8" s="31"/>
      <c r="B8" s="5" t="s">
        <v>1</v>
      </c>
      <c r="C8" s="9"/>
      <c r="D8" s="5"/>
      <c r="E8" s="12"/>
      <c r="F8" s="5"/>
      <c r="G8" s="15"/>
      <c r="H8" s="5"/>
      <c r="I8" s="5"/>
      <c r="J8" s="5"/>
      <c r="K8" s="5"/>
      <c r="L8" s="1">
        <v>2</v>
      </c>
      <c r="M8" t="s">
        <v>42</v>
      </c>
      <c r="N8">
        <f t="shared" ref="N8:N9" si="2">COUNTIF(D$7:K$9,L8)</f>
        <v>0</v>
      </c>
      <c r="O8">
        <f t="shared" si="1"/>
        <v>0</v>
      </c>
    </row>
    <row r="9" spans="1:15" ht="16.5" customHeight="1" thickBot="1" x14ac:dyDescent="0.3">
      <c r="A9" s="32"/>
      <c r="B9" s="6" t="s">
        <v>2</v>
      </c>
      <c r="C9" s="10"/>
      <c r="D9" s="6"/>
      <c r="E9" s="13"/>
      <c r="F9" s="6"/>
      <c r="G9" s="18"/>
      <c r="H9" s="6"/>
      <c r="I9" s="6"/>
      <c r="J9" s="6"/>
      <c r="K9" s="6"/>
      <c r="L9" s="1">
        <v>3</v>
      </c>
      <c r="M9" t="s">
        <v>43</v>
      </c>
      <c r="N9">
        <f t="shared" si="2"/>
        <v>0</v>
      </c>
      <c r="O9">
        <f t="shared" si="1"/>
        <v>0</v>
      </c>
    </row>
    <row r="11" spans="1:15" x14ac:dyDescent="0.25">
      <c r="D11" t="s">
        <v>30</v>
      </c>
      <c r="E11" t="s">
        <v>31</v>
      </c>
    </row>
    <row r="12" spans="1:15" x14ac:dyDescent="0.25">
      <c r="A12" t="s">
        <v>19</v>
      </c>
      <c r="B12">
        <v>1</v>
      </c>
      <c r="C12" s="1" t="s">
        <v>24</v>
      </c>
      <c r="D12">
        <f>COUNTIF(D$4:K$9,B12)</f>
        <v>2</v>
      </c>
      <c r="E12">
        <f>100*D12/(3*8)</f>
        <v>8.3333333333333339</v>
      </c>
    </row>
    <row r="13" spans="1:15" x14ac:dyDescent="0.25">
      <c r="B13">
        <v>2</v>
      </c>
      <c r="C13" s="1" t="s">
        <v>25</v>
      </c>
      <c r="D13">
        <f>COUNTIF(D$4:K$9,B13)</f>
        <v>12</v>
      </c>
      <c r="E13">
        <f t="shared" ref="E13:E14" si="3">100*D13/(3*8)</f>
        <v>50</v>
      </c>
    </row>
    <row r="14" spans="1:15" x14ac:dyDescent="0.25">
      <c r="B14">
        <v>3</v>
      </c>
      <c r="C14" s="1" t="s">
        <v>26</v>
      </c>
      <c r="D14">
        <f>COUNTIF(D$4:K$9,B14)</f>
        <v>10</v>
      </c>
      <c r="E14">
        <f t="shared" si="3"/>
        <v>41.666666666666664</v>
      </c>
    </row>
  </sheetData>
  <mergeCells count="6">
    <mergeCell ref="A7:A9"/>
    <mergeCell ref="D2:E2"/>
    <mergeCell ref="F2:G2"/>
    <mergeCell ref="H2:I2"/>
    <mergeCell ref="J2:K2"/>
    <mergeCell ref="A4:A6"/>
  </mergeCells>
  <conditionalFormatting sqref="D4:K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"/>
  <sheetViews>
    <sheetView workbookViewId="0">
      <selection activeCell="A2" sqref="A2:XFD2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5.42578125" style="1" customWidth="1"/>
    <col min="4" max="11" width="14.140625" customWidth="1"/>
  </cols>
  <sheetData>
    <row r="1" spans="1:11" ht="15.75" thickBot="1" x14ac:dyDescent="0.3">
      <c r="A1" t="s">
        <v>18</v>
      </c>
      <c r="C1" s="1" t="s">
        <v>44</v>
      </c>
      <c r="D1" t="s">
        <v>45</v>
      </c>
    </row>
    <row r="2" spans="1:11" ht="15.75" thickBot="1" x14ac:dyDescent="0.3">
      <c r="D2" s="21" t="s">
        <v>6</v>
      </c>
      <c r="E2" s="22"/>
      <c r="F2" s="21" t="s">
        <v>7</v>
      </c>
      <c r="G2" s="22"/>
      <c r="H2" s="23" t="s">
        <v>9</v>
      </c>
      <c r="I2" s="24"/>
      <c r="J2" s="23" t="s">
        <v>15</v>
      </c>
      <c r="K2" s="24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5" t="s">
        <v>46</v>
      </c>
      <c r="B4" s="4" t="s">
        <v>16</v>
      </c>
      <c r="C4" s="8" t="s">
        <v>48</v>
      </c>
      <c r="D4" s="4">
        <v>5</v>
      </c>
      <c r="E4" s="11">
        <v>9</v>
      </c>
      <c r="F4" s="4">
        <v>13</v>
      </c>
      <c r="G4" s="4">
        <v>9</v>
      </c>
      <c r="H4" s="4">
        <v>13</v>
      </c>
      <c r="I4" s="4">
        <v>17</v>
      </c>
      <c r="J4" s="4">
        <v>5</v>
      </c>
      <c r="K4" s="4">
        <v>9</v>
      </c>
    </row>
    <row r="5" spans="1:11" ht="16.5" customHeight="1" x14ac:dyDescent="0.25">
      <c r="A5" s="26"/>
      <c r="B5" s="5" t="s">
        <v>1</v>
      </c>
      <c r="C5" s="9" t="s">
        <v>49</v>
      </c>
      <c r="D5" s="5">
        <v>5</v>
      </c>
      <c r="E5" s="12">
        <v>9</v>
      </c>
      <c r="F5" s="5">
        <v>5</v>
      </c>
      <c r="G5" s="5">
        <v>5</v>
      </c>
      <c r="H5" s="5">
        <v>9</v>
      </c>
      <c r="I5" s="5">
        <v>9</v>
      </c>
      <c r="J5" s="5">
        <v>9</v>
      </c>
      <c r="K5" s="5">
        <v>9</v>
      </c>
    </row>
    <row r="6" spans="1:11" ht="16.5" customHeight="1" thickBot="1" x14ac:dyDescent="0.35">
      <c r="A6" s="27"/>
      <c r="B6" s="6" t="s">
        <v>2</v>
      </c>
      <c r="C6" s="10" t="s">
        <v>50</v>
      </c>
      <c r="D6" s="6">
        <v>9</v>
      </c>
      <c r="E6" s="13">
        <v>5</v>
      </c>
      <c r="F6" s="6">
        <v>4</v>
      </c>
      <c r="G6" s="6">
        <v>9</v>
      </c>
      <c r="H6" s="6">
        <v>9</v>
      </c>
      <c r="I6" s="16">
        <v>5</v>
      </c>
      <c r="J6" s="16">
        <v>13</v>
      </c>
      <c r="K6" s="6">
        <v>9</v>
      </c>
    </row>
    <row r="8" spans="1:11" x14ac:dyDescent="0.25">
      <c r="A8" t="s">
        <v>35</v>
      </c>
      <c r="B8">
        <f>SUM(D4:K6)/24</f>
        <v>8.4583333333333339</v>
      </c>
    </row>
    <row r="9" spans="1:11" x14ac:dyDescent="0.25">
      <c r="A9" t="s">
        <v>33</v>
      </c>
      <c r="B9">
        <f>MIN(D4:K6)</f>
        <v>4</v>
      </c>
    </row>
    <row r="10" spans="1:11" x14ac:dyDescent="0.25">
      <c r="A10" t="s">
        <v>34</v>
      </c>
      <c r="B10">
        <f>MAX(D4:K6)</f>
        <v>17</v>
      </c>
    </row>
  </sheetData>
  <mergeCells count="5">
    <mergeCell ref="D2:E2"/>
    <mergeCell ref="F2:G2"/>
    <mergeCell ref="H2:I2"/>
    <mergeCell ref="J2:K2"/>
    <mergeCell ref="A4:A6"/>
  </mergeCells>
  <conditionalFormatting sqref="D4:K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tabSelected="1" workbookViewId="0">
      <selection activeCell="C17" sqref="C17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4.42578125" style="1" customWidth="1"/>
    <col min="4" max="11" width="9.140625" customWidth="1"/>
  </cols>
  <sheetData>
    <row r="1" spans="1:11" ht="15.75" thickBot="1" x14ac:dyDescent="0.3">
      <c r="A1" t="s">
        <v>18</v>
      </c>
      <c r="C1" s="1" t="s">
        <v>44</v>
      </c>
      <c r="D1" t="s">
        <v>45</v>
      </c>
    </row>
    <row r="2" spans="1:11" ht="15.75" thickBot="1" x14ac:dyDescent="0.3">
      <c r="D2" s="21" t="s">
        <v>6</v>
      </c>
      <c r="E2" s="22"/>
      <c r="F2" s="21" t="s">
        <v>7</v>
      </c>
      <c r="G2" s="22"/>
      <c r="H2" s="28" t="s">
        <v>9</v>
      </c>
      <c r="I2" s="29"/>
      <c r="J2" s="29" t="s">
        <v>15</v>
      </c>
      <c r="K2" s="29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5" t="s">
        <v>46</v>
      </c>
      <c r="B4" s="4" t="s">
        <v>16</v>
      </c>
      <c r="C4" s="8" t="s">
        <v>48</v>
      </c>
      <c r="D4" s="4">
        <v>7.65</v>
      </c>
      <c r="E4" s="11">
        <v>10.66</v>
      </c>
      <c r="F4" s="4">
        <v>10.82</v>
      </c>
      <c r="G4" s="4">
        <v>8.4499999999999993</v>
      </c>
      <c r="H4" s="4">
        <v>13.83</v>
      </c>
      <c r="I4" s="4">
        <v>12.47</v>
      </c>
      <c r="J4" s="4">
        <v>5.64</v>
      </c>
      <c r="K4" s="4">
        <v>8.14</v>
      </c>
    </row>
    <row r="5" spans="1:11" ht="16.5" customHeight="1" x14ac:dyDescent="0.25">
      <c r="A5" s="26"/>
      <c r="B5" s="5" t="s">
        <v>1</v>
      </c>
      <c r="C5" s="9" t="s">
        <v>49</v>
      </c>
      <c r="D5" s="5">
        <v>6.11</v>
      </c>
      <c r="E5" s="12">
        <v>10.33</v>
      </c>
      <c r="F5" s="5">
        <v>7.68</v>
      </c>
      <c r="G5" s="5">
        <v>10.01</v>
      </c>
      <c r="H5" s="5">
        <v>14.55</v>
      </c>
      <c r="I5" s="5">
        <v>11.53</v>
      </c>
      <c r="J5" s="5">
        <v>13.27</v>
      </c>
      <c r="K5" s="5">
        <v>17.63</v>
      </c>
    </row>
    <row r="6" spans="1:11" ht="16.5" customHeight="1" thickBot="1" x14ac:dyDescent="0.3">
      <c r="A6" s="27"/>
      <c r="B6" s="6" t="s">
        <v>2</v>
      </c>
      <c r="C6" s="10" t="s">
        <v>50</v>
      </c>
      <c r="D6" s="6">
        <v>13.96</v>
      </c>
      <c r="E6" s="13">
        <v>8.99</v>
      </c>
      <c r="F6" s="6">
        <v>5.95</v>
      </c>
      <c r="G6" s="6">
        <v>19.47</v>
      </c>
      <c r="H6" s="6">
        <v>11.01</v>
      </c>
      <c r="I6" s="6">
        <v>7.76</v>
      </c>
      <c r="J6" s="6">
        <v>18.7</v>
      </c>
      <c r="K6" s="6">
        <v>12.79</v>
      </c>
    </row>
    <row r="9" spans="1:11" x14ac:dyDescent="0.25">
      <c r="A9" t="s">
        <v>19</v>
      </c>
      <c r="C9" s="1" t="s">
        <v>27</v>
      </c>
      <c r="D9" t="s">
        <v>28</v>
      </c>
      <c r="E9" t="s">
        <v>32</v>
      </c>
      <c r="F9">
        <f>MEDIAN(D4:K6)</f>
        <v>10.74</v>
      </c>
    </row>
    <row r="10" spans="1:11" x14ac:dyDescent="0.25">
      <c r="E10" t="s">
        <v>33</v>
      </c>
      <c r="F10">
        <f>MIN(D4:K6)</f>
        <v>5.64</v>
      </c>
    </row>
    <row r="11" spans="1:11" x14ac:dyDescent="0.25">
      <c r="E11" t="s">
        <v>34</v>
      </c>
      <c r="F11">
        <f>MAX(D4:K6)</f>
        <v>19.47</v>
      </c>
    </row>
  </sheetData>
  <mergeCells count="5">
    <mergeCell ref="D2:E2"/>
    <mergeCell ref="F2:G2"/>
    <mergeCell ref="H2:I2"/>
    <mergeCell ref="J2:K2"/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eval run syntax</vt:lpstr>
      <vt:lpstr>eval run redundancy</vt:lpstr>
      <vt:lpstr>eval run correctness</vt:lpstr>
      <vt:lpstr>sizes</vt:lpstr>
      <vt:lpstr>eval run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Lara Jaramillo</dc:creator>
  <cp:lastModifiedBy>from_atom3.py_import_atom3 from_atom3.py_import_atom3</cp:lastModifiedBy>
  <dcterms:created xsi:type="dcterms:W3CDTF">2025-11-20T13:59:16Z</dcterms:created>
  <dcterms:modified xsi:type="dcterms:W3CDTF">2026-03-11T20:04:29Z</dcterms:modified>
</cp:coreProperties>
</file>