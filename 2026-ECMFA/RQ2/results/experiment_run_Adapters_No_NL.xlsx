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1717B325-7488-4F79-8EE2-B08217ED4D3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10" i="8"/>
  <c r="B9" i="8"/>
  <c r="F11" i="6"/>
  <c r="F10" i="6"/>
  <c r="F9" i="6"/>
  <c r="E10" i="3"/>
  <c r="F10" i="3" s="1"/>
  <c r="E11" i="3"/>
  <c r="F11" i="3" s="1"/>
  <c r="E12" i="3"/>
  <c r="F12" i="3" s="1"/>
  <c r="E9" i="3"/>
  <c r="F9" i="3" s="1"/>
  <c r="F11" i="4"/>
  <c r="G11" i="4" s="1"/>
  <c r="F10" i="4"/>
  <c r="G10" i="4" s="1"/>
  <c r="F9" i="4"/>
  <c r="G9" i="4" s="1"/>
  <c r="D10" i="5"/>
  <c r="E10" i="5" s="1"/>
  <c r="D11" i="5"/>
  <c r="E11" i="5" s="1"/>
  <c r="D9" i="5"/>
  <c r="E9" i="5" s="1"/>
</calcChain>
</file>

<file path=xl/sharedStrings.xml><?xml version="1.0" encoding="utf-8"?>
<sst xmlns="http://schemas.openxmlformats.org/spreadsheetml/2006/main" count="158" uniqueCount="44">
  <si>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</si>
  <si>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</si>
  <si>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</si>
  <si>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</si>
  <si>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</si>
  <si>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</si>
  <si>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</si>
  <si>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</si>
  <si>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</si>
  <si>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</si>
  <si>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</si>
  <si>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</si>
  <si>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</si>
  <si>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</si>
  <si>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</si>
  <si>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</si>
  <si>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</si>
  <si>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</si>
  <si>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</si>
  <si>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</si>
  <si>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</si>
  <si>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</si>
  <si>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</si>
  <si>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</si>
  <si>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</si>
  <si>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</si>
  <si>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</si>
  <si>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</si>
  <si>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</si>
  <si>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</si>
  <si>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</si>
  <si>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</si>
  <si>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</si>
  <si>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</si>
  <si>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</si>
  <si>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</si>
  <si>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gpt-4.o-mini</t>
  </si>
  <si>
    <t>temp: 0.2</t>
  </si>
  <si>
    <t>Adapters</t>
  </si>
  <si>
    <t>empty</t>
  </si>
  <si>
    <t>State machines adaptive lang</t>
  </si>
  <si>
    <t>ClassDiagrams adaptive Lang</t>
  </si>
  <si>
    <t>NO NL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</si>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</sst>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B7" sqref="A7:XFD9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42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</v>
      </c>
      <c r="E4" s="11">
        <v>1</v>
      </c>
      <c r="F4" s="4">
        <v>1</v>
      </c>
      <c r="G4" s="11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1</v>
      </c>
      <c r="E5" s="12">
        <v>1</v>
      </c>
      <c r="F5" s="5">
        <v>1</v>
      </c>
      <c r="G5" s="12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1</v>
      </c>
      <c r="E6" s="13">
        <v>1</v>
      </c>
      <c r="F6" s="6">
        <v>1</v>
      </c>
      <c r="G6" s="13">
        <v>1</v>
      </c>
      <c r="H6" s="6">
        <v>1</v>
      </c>
      <c r="I6" s="15">
        <v>1</v>
      </c>
      <c r="J6" s="15">
        <v>1</v>
      </c>
      <c r="K6" s="6">
        <v>1</v>
      </c>
    </row>
    <row r="8" spans="1:11" x14ac:dyDescent="0.25">
      <c r="E8" t="s">
        <v>30</v>
      </c>
      <c r="F8" t="s">
        <v>31</v>
      </c>
    </row>
    <row r="9" spans="1:11" x14ac:dyDescent="0.25">
      <c r="A9" t="s">
        <v>19</v>
      </c>
      <c r="B9">
        <v>1</v>
      </c>
      <c r="C9" s="1" t="s">
        <v>20</v>
      </c>
      <c r="E9">
        <f>COUNTIF(D$4:K$6,B9)</f>
        <v>24</v>
      </c>
      <c r="F9">
        <f>100*E9/(3*8)</f>
        <v>100</v>
      </c>
    </row>
    <row r="10" spans="1:11" x14ac:dyDescent="0.25">
      <c r="B10">
        <v>2</v>
      </c>
      <c r="C10" s="1" t="s">
        <v>21</v>
      </c>
      <c r="E10">
        <f>COUNTIF(D$4:K$6,B10)</f>
        <v>0</v>
      </c>
      <c r="F10">
        <f t="shared" ref="F10:F12" si="0">100*E10/(3*8)</f>
        <v>0</v>
      </c>
    </row>
    <row r="11" spans="1:11" x14ac:dyDescent="0.25">
      <c r="B11">
        <v>3</v>
      </c>
      <c r="C11" s="1" t="s">
        <v>22</v>
      </c>
      <c r="E11">
        <f>COUNTIF(D$4:K$6,B11)</f>
        <v>0</v>
      </c>
      <c r="F11">
        <f t="shared" si="0"/>
        <v>0</v>
      </c>
    </row>
    <row r="12" spans="1:11" x14ac:dyDescent="0.25">
      <c r="B12">
        <v>4</v>
      </c>
      <c r="C12" s="1" t="s">
        <v>43</v>
      </c>
      <c r="E12">
        <f>COUNTIF(D$4:K$6,B12)</f>
        <v>0</v>
      </c>
      <c r="F12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="85" zoomScaleNormal="85"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42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24" t="s">
        <v>9</v>
      </c>
      <c r="I2" s="25"/>
      <c r="J2" s="25" t="s">
        <v>15</v>
      </c>
      <c r="K2" s="25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</v>
      </c>
      <c r="E4" s="11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1</v>
      </c>
      <c r="E5" s="12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1</v>
      </c>
      <c r="E6" s="13">
        <v>1</v>
      </c>
      <c r="F6" s="6">
        <v>1</v>
      </c>
      <c r="G6" s="16">
        <v>1</v>
      </c>
      <c r="H6" s="6">
        <v>1</v>
      </c>
      <c r="I6" s="15">
        <v>1</v>
      </c>
      <c r="J6" s="15">
        <v>1</v>
      </c>
      <c r="K6" s="6">
        <v>1</v>
      </c>
    </row>
    <row r="8" spans="1:11" x14ac:dyDescent="0.25">
      <c r="F8" t="s">
        <v>30</v>
      </c>
      <c r="G8" t="s">
        <v>31</v>
      </c>
    </row>
    <row r="9" spans="1:11" x14ac:dyDescent="0.25">
      <c r="A9" t="s">
        <v>19</v>
      </c>
      <c r="B9">
        <v>1</v>
      </c>
      <c r="C9" s="1" t="s">
        <v>20</v>
      </c>
      <c r="F9">
        <f>COUNTIF(D$4:K$6,B9)</f>
        <v>24</v>
      </c>
      <c r="G9">
        <f>100*F9/(3*8)</f>
        <v>100</v>
      </c>
    </row>
    <row r="10" spans="1:11" x14ac:dyDescent="0.25">
      <c r="B10">
        <v>2</v>
      </c>
      <c r="C10" s="1" t="s">
        <v>23</v>
      </c>
      <c r="F10">
        <f>COUNTIF(D$4:K$6,B10)</f>
        <v>0</v>
      </c>
      <c r="G10">
        <f t="shared" ref="G10:G11" si="0">100*F10/(3*8)</f>
        <v>0</v>
      </c>
    </row>
    <row r="11" spans="1:11" x14ac:dyDescent="0.25">
      <c r="B11">
        <v>3</v>
      </c>
      <c r="C11" s="1" t="s">
        <v>29</v>
      </c>
      <c r="F11">
        <f>COUNTIF(D$4:K$6,B11)</f>
        <v>0</v>
      </c>
      <c r="G11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="90" zoomScaleNormal="90" workbookViewId="0">
      <selection activeCell="A12" sqref="A1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42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</v>
      </c>
      <c r="E4" s="11">
        <v>3</v>
      </c>
      <c r="F4" s="4">
        <v>1</v>
      </c>
      <c r="G4" s="4">
        <v>1</v>
      </c>
      <c r="H4" s="4">
        <v>3</v>
      </c>
      <c r="I4" s="4">
        <v>2</v>
      </c>
      <c r="J4" s="4">
        <v>1</v>
      </c>
      <c r="K4" s="4">
        <v>1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1</v>
      </c>
      <c r="E5" s="12">
        <v>2</v>
      </c>
      <c r="F5" s="5">
        <v>3</v>
      </c>
      <c r="G5" s="5">
        <v>1</v>
      </c>
      <c r="H5" s="5">
        <v>2</v>
      </c>
      <c r="I5" s="5">
        <v>2</v>
      </c>
      <c r="J5" s="5">
        <v>2</v>
      </c>
      <c r="K5" s="5">
        <v>3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2</v>
      </c>
      <c r="E6" s="13">
        <v>2</v>
      </c>
      <c r="F6" s="6">
        <v>2</v>
      </c>
      <c r="G6" s="6">
        <v>3</v>
      </c>
      <c r="H6" s="6">
        <v>3</v>
      </c>
      <c r="I6" s="15">
        <v>2</v>
      </c>
      <c r="J6" s="15">
        <v>2</v>
      </c>
      <c r="K6" s="6">
        <v>1</v>
      </c>
    </row>
    <row r="8" spans="1:11" x14ac:dyDescent="0.25">
      <c r="D8" t="s">
        <v>30</v>
      </c>
      <c r="E8" t="s">
        <v>31</v>
      </c>
    </row>
    <row r="9" spans="1:11" x14ac:dyDescent="0.25">
      <c r="A9" t="s">
        <v>19</v>
      </c>
      <c r="B9">
        <v>1</v>
      </c>
      <c r="C9" s="1" t="s">
        <v>24</v>
      </c>
      <c r="D9">
        <f>COUNTIF(D$4:K$6,B9)</f>
        <v>8</v>
      </c>
      <c r="E9">
        <f>100*D9/(3*8)</f>
        <v>33.333333333333336</v>
      </c>
    </row>
    <row r="10" spans="1:11" x14ac:dyDescent="0.25">
      <c r="B10">
        <v>2</v>
      </c>
      <c r="C10" s="1" t="s">
        <v>25</v>
      </c>
      <c r="D10">
        <f>COUNTIF(D$4:K$6,B10)</f>
        <v>10</v>
      </c>
      <c r="E10">
        <f t="shared" ref="E10:E11" si="0">100*D10/(3*8)</f>
        <v>41.666666666666664</v>
      </c>
    </row>
    <row r="11" spans="1:11" x14ac:dyDescent="0.25">
      <c r="B11">
        <v>3</v>
      </c>
      <c r="C11" s="1" t="s">
        <v>26</v>
      </c>
      <c r="D11">
        <f>COUNTIF(D$4:K$6,B11)</f>
        <v>6</v>
      </c>
      <c r="E11">
        <f t="shared" si="0"/>
        <v>25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42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5</v>
      </c>
      <c r="E4" s="11">
        <v>9</v>
      </c>
      <c r="F4" s="4">
        <v>13</v>
      </c>
      <c r="G4" s="4">
        <v>9</v>
      </c>
      <c r="H4" s="4">
        <v>13</v>
      </c>
      <c r="I4" s="4">
        <v>17</v>
      </c>
      <c r="J4" s="4">
        <v>5</v>
      </c>
      <c r="K4" s="4">
        <v>9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5</v>
      </c>
      <c r="E5" s="12">
        <v>9</v>
      </c>
      <c r="F5" s="5">
        <v>5</v>
      </c>
      <c r="G5" s="5">
        <v>5</v>
      </c>
      <c r="H5" s="5">
        <v>9</v>
      </c>
      <c r="I5" s="5">
        <v>5</v>
      </c>
      <c r="J5" s="5">
        <v>9</v>
      </c>
      <c r="K5" s="5">
        <v>13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9</v>
      </c>
      <c r="E6" s="13">
        <v>5</v>
      </c>
      <c r="F6" s="6">
        <v>4</v>
      </c>
      <c r="G6" s="6">
        <v>5</v>
      </c>
      <c r="H6" s="6">
        <v>9</v>
      </c>
      <c r="I6" s="15">
        <v>5</v>
      </c>
      <c r="J6" s="15">
        <v>13</v>
      </c>
      <c r="K6" s="6">
        <v>9</v>
      </c>
    </row>
    <row r="8" spans="1:11" x14ac:dyDescent="0.25">
      <c r="A8" t="s">
        <v>35</v>
      </c>
      <c r="B8">
        <f>SUM(D4:K6)/24</f>
        <v>8.2916666666666661</v>
      </c>
    </row>
    <row r="9" spans="1:11" x14ac:dyDescent="0.25">
      <c r="A9" t="s">
        <v>33</v>
      </c>
      <c r="B9">
        <f>MIN(D4:K6)</f>
        <v>4</v>
      </c>
    </row>
    <row r="10" spans="1:11" x14ac:dyDescent="0.25">
      <c r="A10" t="s">
        <v>34</v>
      </c>
      <c r="B10">
        <f>MAX(D4:K6)</f>
        <v>17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F9" sqref="F9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42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24" t="s">
        <v>9</v>
      </c>
      <c r="I2" s="25"/>
      <c r="J2" s="25" t="s">
        <v>15</v>
      </c>
      <c r="K2" s="25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10.16</v>
      </c>
      <c r="E4" s="11">
        <v>11.68</v>
      </c>
      <c r="F4" s="4">
        <v>12.87</v>
      </c>
      <c r="G4" s="4">
        <v>8.6</v>
      </c>
      <c r="H4" s="4">
        <v>12.95</v>
      </c>
      <c r="I4" s="4">
        <v>15.53</v>
      </c>
      <c r="J4" s="4">
        <v>5.54</v>
      </c>
      <c r="K4" s="4">
        <v>8.9499999999999993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9.3000000000000007</v>
      </c>
      <c r="E5" s="12">
        <v>11.69</v>
      </c>
      <c r="F5" s="5">
        <v>7.99</v>
      </c>
      <c r="G5" s="5">
        <v>7.9</v>
      </c>
      <c r="H5" s="5">
        <v>10.6</v>
      </c>
      <c r="I5" s="5">
        <v>9.7100000000000009</v>
      </c>
      <c r="J5" s="5">
        <v>11.5</v>
      </c>
      <c r="K5" s="5">
        <v>18.05</v>
      </c>
    </row>
    <row r="6" spans="1:11" ht="16.5" customHeight="1" thickBot="1" x14ac:dyDescent="0.3">
      <c r="A6" s="23"/>
      <c r="B6" s="6" t="s">
        <v>2</v>
      </c>
      <c r="C6" s="10" t="s">
        <v>41</v>
      </c>
      <c r="D6" s="6">
        <v>10.44</v>
      </c>
      <c r="E6" s="13">
        <v>10.08</v>
      </c>
      <c r="F6" s="6">
        <v>7.69</v>
      </c>
      <c r="G6" s="6">
        <v>9.41</v>
      </c>
      <c r="H6" s="6">
        <v>15.08</v>
      </c>
      <c r="I6" s="6">
        <v>10.58</v>
      </c>
      <c r="J6" s="6">
        <v>29.96</v>
      </c>
      <c r="K6" s="6">
        <v>19.36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10.51</v>
      </c>
    </row>
    <row r="10" spans="1:11" x14ac:dyDescent="0.25">
      <c r="E10" t="s">
        <v>33</v>
      </c>
      <c r="F10">
        <f>MIN(D4:K6)</f>
        <v>5.54</v>
      </c>
    </row>
    <row r="11" spans="1:11" x14ac:dyDescent="0.25">
      <c r="E11" t="s">
        <v>34</v>
      </c>
      <c r="F11">
        <f>MAX(D4:K6)</f>
        <v>29.96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2026-03-11T20:05:07Z</dcterms:modified>
</cp:coreProperties>
</file>