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proyectos\EMF-Kaizen\emf-kaizen-experiments\2026-ECMFA\RQ2\"/>
    </mc:Choice>
  </mc:AlternateContent>
  <xr:revisionPtr revIDLastSave="0" documentId="13_ncr:1_{329E670B-CFEA-4692-85C3-7C6905A4453C}" xr6:coauthVersionLast="47" xr6:coauthVersionMax="47" xr10:uidLastSave="{00000000-0000-0000-0000-000000000000}"/>
  <bookViews>
    <workbookView xWindow="-120" yWindow="-120" windowWidth="29040" windowHeight="15720" tabRatio="718" activeTab="4" xr2:uid="{00000000-000D-0000-FFFF-FFFF00000000}"/>
  </bookViews>
  <sheets>
    <sheet name="eval run syntax" sheetId="3" r:id="rId1"/>
    <sheet name="eval run redundancy" sheetId="4" r:id="rId2"/>
    <sheet name="eval run correctness" sheetId="5" r:id="rId3"/>
    <sheet name="sizes" sheetId="8" r:id="rId4"/>
    <sheet name="eval run time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8" l="1"/>
  <c r="B10" i="8"/>
  <c r="B8" i="8"/>
  <c r="F11" i="6"/>
  <c r="F10" i="6"/>
  <c r="F9" i="6"/>
  <c r="E10" i="3"/>
  <c r="F10" i="3" s="1"/>
  <c r="E11" i="3"/>
  <c r="F11" i="3" s="1"/>
  <c r="E12" i="3"/>
  <c r="F12" i="3" s="1"/>
  <c r="E9" i="3"/>
  <c r="F9" i="3" s="1"/>
  <c r="F11" i="4"/>
  <c r="G11" i="4" s="1"/>
  <c r="F10" i="4"/>
  <c r="G10" i="4" s="1"/>
  <c r="F9" i="4"/>
  <c r="G9" i="4" s="1"/>
  <c r="D10" i="5"/>
  <c r="E10" i="5" s="1"/>
  <c r="D11" i="5"/>
  <c r="E11" i="5" s="1"/>
  <c r="D9" i="5"/>
  <c r="E9" i="5" s="1"/>
</calcChain>
</file>

<file path=xl/sharedStrings.xml><?xml version="1.0" encoding="utf-8"?>
<sst xmlns="http://schemas.openxmlformats.org/spreadsheetml/2006/main" count="153" uniqueCount="43">
  <si>
    <t>Meta-models</t>
  </si>
  <si>
    <t>model1</t>
  </si>
  <si>
    <t>model2</t>
  </si>
  <si>
    <t>task1</t>
  </si>
  <si>
    <t>task2</t>
  </si>
  <si>
    <t>task3</t>
  </si>
  <si>
    <t>command-like</t>
  </si>
  <si>
    <t>model-based command-like</t>
  </si>
  <si>
    <t>task4</t>
  </si>
  <si>
    <t>recommendation requests</t>
  </si>
  <si>
    <t>task5</t>
  </si>
  <si>
    <t>task6</t>
  </si>
  <si>
    <t>Models</t>
  </si>
  <si>
    <t>task7</t>
  </si>
  <si>
    <t>task8</t>
  </si>
  <si>
    <t>domain-descriptive requests</t>
  </si>
  <si>
    <t>model0</t>
  </si>
  <si>
    <t>Description</t>
  </si>
  <si>
    <t>LLM:</t>
  </si>
  <si>
    <t>Possible values</t>
  </si>
  <si>
    <t>OK</t>
  </si>
  <si>
    <t>Missing attribute</t>
  </si>
  <si>
    <t>Missing reference</t>
  </si>
  <si>
    <t>Has some elements repeated from the current model, unnecesarily</t>
  </si>
  <si>
    <t>Low fidelity</t>
  </si>
  <si>
    <t>Partial fidelity</t>
  </si>
  <si>
    <t>High fidelity</t>
  </si>
  <si>
    <t>time taken</t>
  </si>
  <si>
    <t>time is in seconds</t>
  </si>
  <si>
    <t>Has ALL the model repeated</t>
  </si>
  <si>
    <t>count</t>
  </si>
  <si>
    <t>percentage</t>
  </si>
  <si>
    <t>median</t>
  </si>
  <si>
    <t>min</t>
  </si>
  <si>
    <t>max</t>
  </si>
  <si>
    <t>average</t>
  </si>
  <si>
    <t>gpt-4.o-mini</t>
  </si>
  <si>
    <t>temp: 0.2</t>
  </si>
  <si>
    <t>UML2</t>
  </si>
  <si>
    <t>empty</t>
  </si>
  <si>
    <t>pizzeria</t>
  </si>
  <si>
    <t>ordering</t>
  </si>
  <si>
    <t>Incorrect intent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</si>
</sst>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2"/>
  <sheetViews>
    <sheetView zoomScaleNormal="100" workbookViewId="0">
      <selection activeCell="K19" sqref="K19"/>
    </sheetView>
  </sheetViews>
  <sheetFormatPr baseColWidth="10" defaultColWidth="11" defaultRowHeight="15" x14ac:dyDescent="0.25"/>
  <cols>
    <col min="1" max="1" width="16.42578125" customWidth="1"/>
    <col min="2" max="2" width="9.42578125" customWidth="1"/>
    <col min="3" max="3" width="26.85546875" style="1" customWidth="1"/>
    <col min="4" max="11" width="11.28515625" customWidth="1"/>
  </cols>
  <sheetData>
    <row r="1" spans="1:11" ht="15.75" thickBot="1" x14ac:dyDescent="0.3">
      <c r="A1" t="s">
        <v>18</v>
      </c>
      <c r="C1" s="1" t="s">
        <v>36</v>
      </c>
      <c r="D1" t="s">
        <v>37</v>
      </c>
    </row>
    <row r="2" spans="1:11" ht="15.75" thickBot="1" x14ac:dyDescent="0.3">
      <c r="D2" s="17" t="s">
        <v>6</v>
      </c>
      <c r="E2" s="18"/>
      <c r="F2" s="17" t="s">
        <v>7</v>
      </c>
      <c r="G2" s="18"/>
      <c r="H2" s="19" t="s">
        <v>9</v>
      </c>
      <c r="I2" s="20"/>
      <c r="J2" s="19" t="s">
        <v>15</v>
      </c>
      <c r="K2" s="20"/>
    </row>
    <row r="3" spans="1:11" ht="15.75" thickBot="1" x14ac:dyDescent="0.3">
      <c r="A3" s="2" t="s">
        <v>0</v>
      </c>
      <c r="B3" s="3" t="s">
        <v>12</v>
      </c>
      <c r="C3" s="7" t="s">
        <v>17</v>
      </c>
      <c r="D3" s="3" t="s">
        <v>3</v>
      </c>
      <c r="E3" s="14" t="s">
        <v>4</v>
      </c>
      <c r="F3" s="3" t="s">
        <v>5</v>
      </c>
      <c r="G3" s="14" t="s">
        <v>8</v>
      </c>
      <c r="H3" s="3" t="s">
        <v>10</v>
      </c>
      <c r="I3" s="3" t="s">
        <v>11</v>
      </c>
      <c r="J3" s="3" t="s">
        <v>13</v>
      </c>
      <c r="K3" s="3" t="s">
        <v>14</v>
      </c>
    </row>
    <row r="4" spans="1:11" ht="16.5" customHeight="1" x14ac:dyDescent="0.25">
      <c r="A4" s="21" t="s">
        <v>38</v>
      </c>
      <c r="B4" s="4" t="s">
        <v>16</v>
      </c>
      <c r="C4" s="8" t="s">
        <v>39</v>
      </c>
      <c r="D4" s="4">
        <v>1</v>
      </c>
      <c r="E4" s="11">
        <v>1</v>
      </c>
      <c r="F4" s="4">
        <v>3</v>
      </c>
      <c r="G4" s="4">
        <v>3</v>
      </c>
      <c r="H4" s="4">
        <v>1</v>
      </c>
      <c r="I4" s="4">
        <v>1</v>
      </c>
      <c r="J4" s="4">
        <v>3</v>
      </c>
      <c r="K4" s="4">
        <v>3</v>
      </c>
    </row>
    <row r="5" spans="1:11" ht="16.5" customHeight="1" x14ac:dyDescent="0.25">
      <c r="A5" s="22"/>
      <c r="B5" s="5" t="s">
        <v>1</v>
      </c>
      <c r="C5" s="9" t="s">
        <v>40</v>
      </c>
      <c r="D5" s="5">
        <v>3</v>
      </c>
      <c r="E5" s="5">
        <v>3</v>
      </c>
      <c r="F5" s="5">
        <v>3</v>
      </c>
      <c r="G5" s="12">
        <v>1</v>
      </c>
      <c r="H5" s="5">
        <v>3</v>
      </c>
      <c r="I5" s="5">
        <v>3</v>
      </c>
      <c r="J5" s="5">
        <v>3</v>
      </c>
      <c r="K5" s="5">
        <v>3</v>
      </c>
    </row>
    <row r="6" spans="1:11" ht="16.5" customHeight="1" thickBot="1" x14ac:dyDescent="0.3">
      <c r="A6" s="23"/>
      <c r="B6" s="6" t="s">
        <v>2</v>
      </c>
      <c r="C6" s="10" t="s">
        <v>41</v>
      </c>
      <c r="D6" s="6">
        <v>1</v>
      </c>
      <c r="E6" s="13">
        <v>1</v>
      </c>
      <c r="F6" s="6">
        <v>1</v>
      </c>
      <c r="G6" s="13">
        <v>3</v>
      </c>
      <c r="H6" s="13">
        <v>3</v>
      </c>
      <c r="I6" s="13">
        <v>3</v>
      </c>
      <c r="J6" s="13">
        <v>3</v>
      </c>
      <c r="K6" s="13">
        <v>3</v>
      </c>
    </row>
    <row r="8" spans="1:11" x14ac:dyDescent="0.25">
      <c r="E8" t="s">
        <v>30</v>
      </c>
      <c r="F8" t="s">
        <v>31</v>
      </c>
    </row>
    <row r="9" spans="1:11" x14ac:dyDescent="0.25">
      <c r="A9" t="s">
        <v>19</v>
      </c>
      <c r="B9">
        <v>1</v>
      </c>
      <c r="C9" s="1" t="s">
        <v>20</v>
      </c>
      <c r="E9">
        <f t="shared" ref="E9:E12" si="0">COUNTIF(D$4:K$6,B9)</f>
        <v>8</v>
      </c>
      <c r="F9">
        <f>100*E9/(3*8)</f>
        <v>33.333333333333336</v>
      </c>
    </row>
    <row r="10" spans="1:11" x14ac:dyDescent="0.25">
      <c r="B10">
        <v>2</v>
      </c>
      <c r="C10" s="1" t="s">
        <v>21</v>
      </c>
      <c r="E10">
        <f t="shared" si="0"/>
        <v>0</v>
      </c>
      <c r="F10">
        <f t="shared" ref="F10:F12" si="1">100*E10/(3*8)</f>
        <v>0</v>
      </c>
    </row>
    <row r="11" spans="1:11" x14ac:dyDescent="0.25">
      <c r="B11">
        <v>3</v>
      </c>
      <c r="C11" s="1" t="s">
        <v>22</v>
      </c>
      <c r="E11">
        <f t="shared" si="0"/>
        <v>16</v>
      </c>
      <c r="F11">
        <f t="shared" si="1"/>
        <v>66.666666666666671</v>
      </c>
    </row>
    <row r="12" spans="1:11" x14ac:dyDescent="0.25">
      <c r="B12">
        <v>4</v>
      </c>
      <c r="C12" s="1" t="s">
        <v>42</v>
      </c>
      <c r="E12">
        <f t="shared" si="0"/>
        <v>0</v>
      </c>
      <c r="F12">
        <f t="shared" si="1"/>
        <v>0</v>
      </c>
    </row>
  </sheetData>
  <mergeCells count="5">
    <mergeCell ref="D2:E2"/>
    <mergeCell ref="F2:G2"/>
    <mergeCell ref="H2:I2"/>
    <mergeCell ref="J2:K2"/>
    <mergeCell ref="A4:A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zoomScale="85" zoomScaleNormal="85" workbookViewId="0">
      <selection activeCell="E4" sqref="E4"/>
    </sheetView>
  </sheetViews>
  <sheetFormatPr baseColWidth="10" defaultColWidth="11" defaultRowHeight="15" x14ac:dyDescent="0.25"/>
  <cols>
    <col min="1" max="1" width="16.42578125" customWidth="1"/>
    <col min="2" max="2" width="9.42578125" customWidth="1"/>
    <col min="3" max="3" width="24.42578125" style="1" customWidth="1"/>
    <col min="4" max="11" width="11.7109375" customWidth="1"/>
  </cols>
  <sheetData>
    <row r="1" spans="1:11" ht="15.75" thickBot="1" x14ac:dyDescent="0.3">
      <c r="A1" t="s">
        <v>18</v>
      </c>
      <c r="C1" s="1" t="s">
        <v>36</v>
      </c>
      <c r="D1" t="s">
        <v>37</v>
      </c>
    </row>
    <row r="2" spans="1:11" ht="15.75" thickBot="1" x14ac:dyDescent="0.3">
      <c r="D2" s="17" t="s">
        <v>6</v>
      </c>
      <c r="E2" s="18"/>
      <c r="F2" s="17" t="s">
        <v>7</v>
      </c>
      <c r="G2" s="18"/>
      <c r="H2" s="24" t="s">
        <v>9</v>
      </c>
      <c r="I2" s="25"/>
      <c r="J2" s="25" t="s">
        <v>15</v>
      </c>
      <c r="K2" s="25"/>
    </row>
    <row r="3" spans="1:11" ht="15.75" thickBot="1" x14ac:dyDescent="0.3">
      <c r="A3" s="2" t="s">
        <v>0</v>
      </c>
      <c r="B3" s="3" t="s">
        <v>12</v>
      </c>
      <c r="C3" s="7" t="s">
        <v>17</v>
      </c>
      <c r="D3" s="3" t="s">
        <v>3</v>
      </c>
      <c r="E3" s="14" t="s">
        <v>4</v>
      </c>
      <c r="F3" s="3" t="s">
        <v>5</v>
      </c>
      <c r="G3" s="3" t="s">
        <v>8</v>
      </c>
      <c r="H3" s="3" t="s">
        <v>10</v>
      </c>
      <c r="I3" s="3" t="s">
        <v>11</v>
      </c>
      <c r="J3" s="3" t="s">
        <v>13</v>
      </c>
      <c r="K3" s="3" t="s">
        <v>14</v>
      </c>
    </row>
    <row r="4" spans="1:11" ht="16.5" customHeight="1" x14ac:dyDescent="0.25">
      <c r="A4" s="21" t="s">
        <v>38</v>
      </c>
      <c r="B4" s="4" t="s">
        <v>16</v>
      </c>
      <c r="C4" s="8" t="s">
        <v>39</v>
      </c>
      <c r="D4" s="4">
        <v>1</v>
      </c>
      <c r="E4" s="11">
        <v>1</v>
      </c>
      <c r="F4" s="4">
        <v>1</v>
      </c>
      <c r="G4" s="4">
        <v>1</v>
      </c>
      <c r="H4" s="4">
        <v>1</v>
      </c>
      <c r="I4" s="4">
        <v>1</v>
      </c>
      <c r="J4" s="4">
        <v>1</v>
      </c>
      <c r="K4" s="4">
        <v>1</v>
      </c>
    </row>
    <row r="5" spans="1:11" ht="16.5" customHeight="1" x14ac:dyDescent="0.25">
      <c r="A5" s="22"/>
      <c r="B5" s="5" t="s">
        <v>1</v>
      </c>
      <c r="C5" s="9" t="s">
        <v>40</v>
      </c>
      <c r="D5" s="5">
        <v>1</v>
      </c>
      <c r="E5" s="12">
        <v>1</v>
      </c>
      <c r="F5" s="5">
        <v>1</v>
      </c>
      <c r="G5" s="5">
        <v>1</v>
      </c>
      <c r="H5" s="5">
        <v>1</v>
      </c>
      <c r="I5" s="5">
        <v>1</v>
      </c>
      <c r="J5" s="5">
        <v>1</v>
      </c>
      <c r="K5" s="5">
        <v>1</v>
      </c>
    </row>
    <row r="6" spans="1:11" ht="16.5" customHeight="1" thickBot="1" x14ac:dyDescent="0.35">
      <c r="A6" s="23"/>
      <c r="B6" s="6" t="s">
        <v>2</v>
      </c>
      <c r="C6" s="10" t="s">
        <v>41</v>
      </c>
      <c r="D6" s="6">
        <v>1</v>
      </c>
      <c r="E6" s="13">
        <v>1</v>
      </c>
      <c r="F6" s="6">
        <v>1</v>
      </c>
      <c r="G6" s="16">
        <v>1</v>
      </c>
      <c r="H6" s="6">
        <v>1</v>
      </c>
      <c r="I6" s="15">
        <v>1</v>
      </c>
      <c r="J6" s="15">
        <v>1</v>
      </c>
      <c r="K6" s="15">
        <v>1</v>
      </c>
    </row>
    <row r="8" spans="1:11" x14ac:dyDescent="0.25">
      <c r="F8" t="s">
        <v>30</v>
      </c>
      <c r="G8" t="s">
        <v>31</v>
      </c>
    </row>
    <row r="9" spans="1:11" x14ac:dyDescent="0.25">
      <c r="A9" t="s">
        <v>19</v>
      </c>
      <c r="B9">
        <v>1</v>
      </c>
      <c r="C9" s="1" t="s">
        <v>20</v>
      </c>
      <c r="F9">
        <f>COUNTIF(D$4:K$6,B9)</f>
        <v>24</v>
      </c>
      <c r="G9">
        <f>100*F9/(3*8)</f>
        <v>100</v>
      </c>
    </row>
    <row r="10" spans="1:11" x14ac:dyDescent="0.25">
      <c r="B10">
        <v>2</v>
      </c>
      <c r="C10" s="1" t="s">
        <v>23</v>
      </c>
      <c r="F10">
        <f>COUNTIF(D$4:K$6,B10)</f>
        <v>0</v>
      </c>
      <c r="G10">
        <f t="shared" ref="G10:G11" si="0">100*F10/(3*8)</f>
        <v>0</v>
      </c>
    </row>
    <row r="11" spans="1:11" x14ac:dyDescent="0.25">
      <c r="B11">
        <v>3</v>
      </c>
      <c r="C11" s="1" t="s">
        <v>29</v>
      </c>
      <c r="F11">
        <f>COUNTIF(D$4:K$6,B11)</f>
        <v>0</v>
      </c>
      <c r="G11">
        <f t="shared" si="0"/>
        <v>0</v>
      </c>
    </row>
  </sheetData>
  <mergeCells count="5">
    <mergeCell ref="D2:E2"/>
    <mergeCell ref="F2:G2"/>
    <mergeCell ref="H2:I2"/>
    <mergeCell ref="J2:K2"/>
    <mergeCell ref="A4:A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workbookViewId="0">
      <selection activeCell="J17" sqref="J17"/>
    </sheetView>
  </sheetViews>
  <sheetFormatPr baseColWidth="10" defaultColWidth="11" defaultRowHeight="15" x14ac:dyDescent="0.25"/>
  <cols>
    <col min="1" max="1" width="16.42578125" customWidth="1"/>
    <col min="2" max="2" width="9.42578125" customWidth="1"/>
    <col min="3" max="3" width="27.140625" style="1" customWidth="1"/>
    <col min="4" max="11" width="10" customWidth="1"/>
  </cols>
  <sheetData>
    <row r="1" spans="1:11" ht="15.75" thickBot="1" x14ac:dyDescent="0.3">
      <c r="A1" t="s">
        <v>18</v>
      </c>
      <c r="C1" s="1" t="s">
        <v>36</v>
      </c>
      <c r="D1" t="s">
        <v>37</v>
      </c>
    </row>
    <row r="2" spans="1:11" ht="15.75" thickBot="1" x14ac:dyDescent="0.3">
      <c r="D2" s="17" t="s">
        <v>6</v>
      </c>
      <c r="E2" s="18"/>
      <c r="F2" s="17" t="s">
        <v>7</v>
      </c>
      <c r="G2" s="18"/>
      <c r="H2" s="19" t="s">
        <v>9</v>
      </c>
      <c r="I2" s="20"/>
      <c r="J2" s="19" t="s">
        <v>15</v>
      </c>
      <c r="K2" s="20"/>
    </row>
    <row r="3" spans="1:11" ht="15.75" thickBot="1" x14ac:dyDescent="0.3">
      <c r="A3" s="2" t="s">
        <v>0</v>
      </c>
      <c r="B3" s="3" t="s">
        <v>12</v>
      </c>
      <c r="C3" s="7" t="s">
        <v>17</v>
      </c>
      <c r="D3" s="3" t="s">
        <v>3</v>
      </c>
      <c r="E3" s="14" t="s">
        <v>4</v>
      </c>
      <c r="F3" s="3" t="s">
        <v>5</v>
      </c>
      <c r="G3" s="3" t="s">
        <v>8</v>
      </c>
      <c r="H3" s="3" t="s">
        <v>10</v>
      </c>
      <c r="I3" s="3" t="s">
        <v>11</v>
      </c>
      <c r="J3" s="3" t="s">
        <v>13</v>
      </c>
      <c r="K3" s="3" t="s">
        <v>14</v>
      </c>
    </row>
    <row r="4" spans="1:11" ht="16.5" customHeight="1" x14ac:dyDescent="0.25">
      <c r="A4" s="21" t="s">
        <v>38</v>
      </c>
      <c r="B4" s="4" t="s">
        <v>16</v>
      </c>
      <c r="C4" s="8" t="s">
        <v>39</v>
      </c>
      <c r="D4" s="4">
        <v>3</v>
      </c>
      <c r="E4" s="11">
        <v>3</v>
      </c>
      <c r="F4" s="4">
        <v>2</v>
      </c>
      <c r="G4" s="4">
        <v>2</v>
      </c>
      <c r="H4" s="4">
        <v>2</v>
      </c>
      <c r="I4" s="4">
        <v>2</v>
      </c>
      <c r="J4" s="4">
        <v>2</v>
      </c>
      <c r="K4" s="4">
        <v>2</v>
      </c>
    </row>
    <row r="5" spans="1:11" ht="16.5" customHeight="1" x14ac:dyDescent="0.25">
      <c r="A5" s="22"/>
      <c r="B5" s="5" t="s">
        <v>1</v>
      </c>
      <c r="C5" s="9" t="s">
        <v>40</v>
      </c>
      <c r="D5" s="5">
        <v>3</v>
      </c>
      <c r="E5" s="12">
        <v>3</v>
      </c>
      <c r="F5" s="5">
        <v>3</v>
      </c>
      <c r="G5" s="5">
        <v>2</v>
      </c>
      <c r="H5" s="5">
        <v>3</v>
      </c>
      <c r="I5" s="5">
        <v>3</v>
      </c>
      <c r="J5" s="5">
        <v>1</v>
      </c>
      <c r="K5" s="5">
        <v>2</v>
      </c>
    </row>
    <row r="6" spans="1:11" ht="16.5" customHeight="1" thickBot="1" x14ac:dyDescent="0.35">
      <c r="A6" s="23"/>
      <c r="B6" s="6" t="s">
        <v>2</v>
      </c>
      <c r="C6" s="10" t="s">
        <v>41</v>
      </c>
      <c r="D6" s="6">
        <v>3</v>
      </c>
      <c r="E6" s="13">
        <v>3</v>
      </c>
      <c r="F6" s="6">
        <v>3</v>
      </c>
      <c r="G6" s="6">
        <v>3</v>
      </c>
      <c r="H6" s="6">
        <v>3</v>
      </c>
      <c r="I6" s="15">
        <v>3</v>
      </c>
      <c r="J6" s="15">
        <v>3</v>
      </c>
      <c r="K6" s="6">
        <v>3</v>
      </c>
    </row>
    <row r="8" spans="1:11" x14ac:dyDescent="0.25">
      <c r="D8" t="s">
        <v>30</v>
      </c>
      <c r="E8" t="s">
        <v>31</v>
      </c>
    </row>
    <row r="9" spans="1:11" x14ac:dyDescent="0.25">
      <c r="A9" t="s">
        <v>19</v>
      </c>
      <c r="B9">
        <v>1</v>
      </c>
      <c r="C9" s="1" t="s">
        <v>24</v>
      </c>
      <c r="D9">
        <f>COUNTIF(D$4:K$6,B9)</f>
        <v>1</v>
      </c>
      <c r="E9">
        <f>100*D9/(3*8)</f>
        <v>4.166666666666667</v>
      </c>
    </row>
    <row r="10" spans="1:11" x14ac:dyDescent="0.25">
      <c r="B10">
        <v>2</v>
      </c>
      <c r="C10" s="1" t="s">
        <v>25</v>
      </c>
      <c r="D10">
        <f>COUNTIF(D$4:K$6,B10)</f>
        <v>8</v>
      </c>
      <c r="E10">
        <f t="shared" ref="E10:E11" si="0">100*D10/(3*8)</f>
        <v>33.333333333333336</v>
      </c>
    </row>
    <row r="11" spans="1:11" x14ac:dyDescent="0.25">
      <c r="B11">
        <v>3</v>
      </c>
      <c r="C11" s="1" t="s">
        <v>26</v>
      </c>
      <c r="D11">
        <f>COUNTIF(D$4:K$6,B11)</f>
        <v>15</v>
      </c>
      <c r="E11">
        <f t="shared" si="0"/>
        <v>62.5</v>
      </c>
    </row>
  </sheetData>
  <mergeCells count="5">
    <mergeCell ref="D2:E2"/>
    <mergeCell ref="F2:G2"/>
    <mergeCell ref="H2:I2"/>
    <mergeCell ref="J2:K2"/>
    <mergeCell ref="A4:A6"/>
  </mergeCells>
  <conditionalFormatting sqref="D4:K6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"/>
  <sheetViews>
    <sheetView workbookViewId="0">
      <selection activeCell="A2" sqref="A2:XFD2"/>
    </sheetView>
  </sheetViews>
  <sheetFormatPr baseColWidth="10" defaultColWidth="11" defaultRowHeight="15" x14ac:dyDescent="0.25"/>
  <cols>
    <col min="1" max="1" width="16.42578125" customWidth="1"/>
    <col min="2" max="2" width="9.42578125" customWidth="1"/>
    <col min="3" max="3" width="25.42578125" style="1" customWidth="1"/>
    <col min="4" max="11" width="14.140625" customWidth="1"/>
  </cols>
  <sheetData>
    <row r="1" spans="1:11" ht="15.75" thickBot="1" x14ac:dyDescent="0.3">
      <c r="A1" t="s">
        <v>18</v>
      </c>
      <c r="C1" s="1" t="s">
        <v>36</v>
      </c>
      <c r="D1" t="s">
        <v>37</v>
      </c>
    </row>
    <row r="2" spans="1:11" ht="15.75" thickBot="1" x14ac:dyDescent="0.3">
      <c r="D2" s="17" t="s">
        <v>6</v>
      </c>
      <c r="E2" s="18"/>
      <c r="F2" s="17" t="s">
        <v>7</v>
      </c>
      <c r="G2" s="18"/>
      <c r="H2" s="19" t="s">
        <v>9</v>
      </c>
      <c r="I2" s="20"/>
      <c r="J2" s="19" t="s">
        <v>15</v>
      </c>
      <c r="K2" s="20"/>
    </row>
    <row r="3" spans="1:11" ht="15.75" thickBot="1" x14ac:dyDescent="0.3">
      <c r="A3" s="2" t="s">
        <v>0</v>
      </c>
      <c r="B3" s="3" t="s">
        <v>12</v>
      </c>
      <c r="C3" s="7" t="s">
        <v>17</v>
      </c>
      <c r="D3" s="3" t="s">
        <v>3</v>
      </c>
      <c r="E3" s="14" t="s">
        <v>4</v>
      </c>
      <c r="F3" s="3" t="s">
        <v>5</v>
      </c>
      <c r="G3" s="3" t="s">
        <v>8</v>
      </c>
      <c r="H3" s="3" t="s">
        <v>10</v>
      </c>
      <c r="I3" s="3" t="s">
        <v>11</v>
      </c>
      <c r="J3" s="3" t="s">
        <v>13</v>
      </c>
      <c r="K3" s="3" t="s">
        <v>14</v>
      </c>
    </row>
    <row r="4" spans="1:11" ht="16.5" customHeight="1" x14ac:dyDescent="0.25">
      <c r="A4" s="21" t="s">
        <v>38</v>
      </c>
      <c r="B4" s="4" t="s">
        <v>16</v>
      </c>
      <c r="C4" s="8" t="s">
        <v>39</v>
      </c>
      <c r="D4" s="4">
        <v>5</v>
      </c>
      <c r="E4" s="11">
        <v>11</v>
      </c>
      <c r="F4" s="4">
        <v>8</v>
      </c>
      <c r="G4" s="4">
        <v>15</v>
      </c>
      <c r="H4" s="4">
        <v>2</v>
      </c>
      <c r="I4" s="4">
        <v>8</v>
      </c>
      <c r="J4" s="4">
        <v>5</v>
      </c>
      <c r="K4" s="4">
        <v>7</v>
      </c>
    </row>
    <row r="5" spans="1:11" ht="16.5" customHeight="1" x14ac:dyDescent="0.25">
      <c r="A5" s="22"/>
      <c r="B5" s="5" t="s">
        <v>1</v>
      </c>
      <c r="C5" s="9" t="s">
        <v>40</v>
      </c>
      <c r="D5" s="5">
        <v>2</v>
      </c>
      <c r="E5" s="12">
        <v>2</v>
      </c>
      <c r="F5" s="5">
        <v>6</v>
      </c>
      <c r="G5" s="5">
        <v>1</v>
      </c>
      <c r="H5" s="5">
        <v>6</v>
      </c>
      <c r="I5" s="5">
        <v>4</v>
      </c>
      <c r="J5" s="5">
        <v>4</v>
      </c>
      <c r="K5" s="5">
        <v>3</v>
      </c>
    </row>
    <row r="6" spans="1:11" ht="16.5" customHeight="1" thickBot="1" x14ac:dyDescent="0.35">
      <c r="A6" s="23"/>
      <c r="B6" s="6" t="s">
        <v>2</v>
      </c>
      <c r="C6" s="10" t="s">
        <v>41</v>
      </c>
      <c r="D6" s="6">
        <v>9</v>
      </c>
      <c r="E6" s="13">
        <v>2</v>
      </c>
      <c r="F6" s="6">
        <v>1</v>
      </c>
      <c r="G6" s="6">
        <v>11</v>
      </c>
      <c r="H6" s="6">
        <v>6</v>
      </c>
      <c r="I6" s="15">
        <v>14</v>
      </c>
      <c r="J6" s="15">
        <v>10</v>
      </c>
      <c r="K6" s="6">
        <v>7</v>
      </c>
    </row>
    <row r="8" spans="1:11" x14ac:dyDescent="0.25">
      <c r="A8" t="s">
        <v>35</v>
      </c>
      <c r="B8">
        <f>SUM(D4:K6)/24</f>
        <v>6.208333333333333</v>
      </c>
    </row>
    <row r="9" spans="1:11" x14ac:dyDescent="0.25">
      <c r="A9" t="s">
        <v>33</v>
      </c>
      <c r="B9">
        <f t="shared" ref="B9:B10" si="0">SUM(D5:K7)/24</f>
        <v>3.6666666666666665</v>
      </c>
    </row>
    <row r="10" spans="1:11" x14ac:dyDescent="0.25">
      <c r="A10" t="s">
        <v>34</v>
      </c>
      <c r="B10">
        <f t="shared" si="0"/>
        <v>2.5</v>
      </c>
    </row>
  </sheetData>
  <mergeCells count="5">
    <mergeCell ref="D2:E2"/>
    <mergeCell ref="F2:G2"/>
    <mergeCell ref="H2:I2"/>
    <mergeCell ref="J2:K2"/>
    <mergeCell ref="A4:A6"/>
  </mergeCells>
  <conditionalFormatting sqref="D4:K6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tabSelected="1" workbookViewId="0">
      <selection activeCell="F9" sqref="F9"/>
    </sheetView>
  </sheetViews>
  <sheetFormatPr baseColWidth="10" defaultColWidth="11" defaultRowHeight="15" x14ac:dyDescent="0.25"/>
  <cols>
    <col min="1" max="1" width="16.42578125" customWidth="1"/>
    <col min="2" max="2" width="9.42578125" customWidth="1"/>
    <col min="3" max="3" width="24.42578125" style="1" customWidth="1"/>
    <col min="4" max="11" width="9.140625" customWidth="1"/>
  </cols>
  <sheetData>
    <row r="1" spans="1:11" ht="15.75" thickBot="1" x14ac:dyDescent="0.3">
      <c r="A1" t="s">
        <v>18</v>
      </c>
      <c r="C1" s="1" t="s">
        <v>36</v>
      </c>
      <c r="D1" t="s">
        <v>37</v>
      </c>
    </row>
    <row r="2" spans="1:11" ht="15.75" thickBot="1" x14ac:dyDescent="0.3">
      <c r="D2" s="17" t="s">
        <v>6</v>
      </c>
      <c r="E2" s="18"/>
      <c r="F2" s="17" t="s">
        <v>7</v>
      </c>
      <c r="G2" s="18"/>
      <c r="H2" s="24" t="s">
        <v>9</v>
      </c>
      <c r="I2" s="25"/>
      <c r="J2" s="25" t="s">
        <v>15</v>
      </c>
      <c r="K2" s="25"/>
    </row>
    <row r="3" spans="1:11" ht="15.75" thickBot="1" x14ac:dyDescent="0.3">
      <c r="A3" s="2" t="s">
        <v>0</v>
      </c>
      <c r="B3" s="3" t="s">
        <v>12</v>
      </c>
      <c r="C3" s="7" t="s">
        <v>17</v>
      </c>
      <c r="D3" s="3" t="s">
        <v>3</v>
      </c>
      <c r="E3" s="14" t="s">
        <v>4</v>
      </c>
      <c r="F3" s="3" t="s">
        <v>5</v>
      </c>
      <c r="G3" s="3" t="s">
        <v>8</v>
      </c>
      <c r="H3" s="3" t="s">
        <v>10</v>
      </c>
      <c r="I3" s="3" t="s">
        <v>11</v>
      </c>
      <c r="J3" s="3" t="s">
        <v>13</v>
      </c>
      <c r="K3" s="3" t="s">
        <v>14</v>
      </c>
    </row>
    <row r="4" spans="1:11" ht="16.5" customHeight="1" x14ac:dyDescent="0.25">
      <c r="A4" s="21" t="s">
        <v>38</v>
      </c>
      <c r="B4" s="4" t="s">
        <v>16</v>
      </c>
      <c r="C4" s="8" t="s">
        <v>39</v>
      </c>
      <c r="D4" s="4">
        <v>30.33</v>
      </c>
      <c r="E4" s="11">
        <v>77</v>
      </c>
      <c r="F4" s="4">
        <v>25.83</v>
      </c>
      <c r="G4" s="4">
        <v>103</v>
      </c>
      <c r="H4" s="4">
        <v>12.84</v>
      </c>
      <c r="I4" s="4">
        <v>14.52</v>
      </c>
      <c r="J4" s="4">
        <v>38.81</v>
      </c>
      <c r="K4" s="4">
        <v>17.46</v>
      </c>
    </row>
    <row r="5" spans="1:11" ht="16.5" customHeight="1" x14ac:dyDescent="0.25">
      <c r="A5" s="22"/>
      <c r="B5" s="5" t="s">
        <v>1</v>
      </c>
      <c r="C5" s="9" t="s">
        <v>40</v>
      </c>
      <c r="D5" s="5">
        <v>17.87</v>
      </c>
      <c r="E5" s="12">
        <v>10.3</v>
      </c>
      <c r="F5" s="5">
        <v>22.38</v>
      </c>
      <c r="G5" s="5">
        <v>8.16</v>
      </c>
      <c r="H5" s="5">
        <v>15.33</v>
      </c>
      <c r="I5" s="5">
        <v>19.989999999999998</v>
      </c>
      <c r="J5" s="5">
        <v>14.8</v>
      </c>
      <c r="K5" s="5">
        <v>15.02</v>
      </c>
    </row>
    <row r="6" spans="1:11" ht="16.5" customHeight="1" thickBot="1" x14ac:dyDescent="0.3">
      <c r="A6" s="23"/>
      <c r="B6" s="6" t="s">
        <v>2</v>
      </c>
      <c r="C6" s="10" t="s">
        <v>41</v>
      </c>
      <c r="D6" s="6">
        <v>23.67</v>
      </c>
      <c r="E6" s="13">
        <v>9.33</v>
      </c>
      <c r="F6" s="6">
        <v>9.35</v>
      </c>
      <c r="G6" s="6">
        <v>51.69</v>
      </c>
      <c r="H6" s="6">
        <v>22.24</v>
      </c>
      <c r="I6" s="6">
        <v>42.53</v>
      </c>
      <c r="J6" s="6">
        <v>25.7</v>
      </c>
      <c r="K6" s="6">
        <v>16.920000000000002</v>
      </c>
    </row>
    <row r="9" spans="1:11" x14ac:dyDescent="0.25">
      <c r="A9" t="s">
        <v>19</v>
      </c>
      <c r="C9" s="1" t="s">
        <v>27</v>
      </c>
      <c r="D9" t="s">
        <v>28</v>
      </c>
      <c r="E9" t="s">
        <v>32</v>
      </c>
      <c r="F9">
        <f>MEDIAN(D4:K6)</f>
        <v>18.93</v>
      </c>
    </row>
    <row r="10" spans="1:11" x14ac:dyDescent="0.25">
      <c r="E10" t="s">
        <v>33</v>
      </c>
      <c r="F10">
        <f>MIN(D4:K6)</f>
        <v>8.16</v>
      </c>
    </row>
    <row r="11" spans="1:11" x14ac:dyDescent="0.25">
      <c r="E11" t="s">
        <v>34</v>
      </c>
      <c r="F11">
        <f>MAX(D4:K6)</f>
        <v>103</v>
      </c>
    </row>
  </sheetData>
  <mergeCells count="5">
    <mergeCell ref="D2:E2"/>
    <mergeCell ref="F2:G2"/>
    <mergeCell ref="H2:I2"/>
    <mergeCell ref="J2:K2"/>
    <mergeCell ref="A4:A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eval run syntax</vt:lpstr>
      <vt:lpstr>eval run redundancy</vt:lpstr>
      <vt:lpstr>eval run correctness</vt:lpstr>
      <vt:lpstr>sizes</vt:lpstr>
      <vt:lpstr>eval run 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de Lara Jaramillo</dc:creator>
  <cp:lastModifiedBy>from_atom3.py_import_atom3 from_atom3.py_import_atom3</cp:lastModifiedBy>
  <dcterms:created xsi:type="dcterms:W3CDTF">2025-11-20T13:59:16Z</dcterms:created>
  <dcterms:modified xsi:type="dcterms:W3CDTF">2026-03-11T19:59:42Z</dcterms:modified>
</cp:coreProperties>
</file>