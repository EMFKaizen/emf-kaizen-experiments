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\emf-kaizen-experiments\2026-ECMFA\RQ2\"/>
    </mc:Choice>
  </mc:AlternateContent>
  <xr:revisionPtr revIDLastSave="0" documentId="13_ncr:1_{12F152CB-787E-4047-8104-C27AEA82112E}" xr6:coauthVersionLast="47" xr6:coauthVersionMax="47" xr10:uidLastSave="{00000000-0000-0000-0000-000000000000}"/>
  <bookViews>
    <workbookView xWindow="-120" yWindow="-120" windowWidth="29040" windowHeight="15720" tabRatio="718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sizes" sheetId="8" r:id="rId4"/>
    <sheet name="eval run ti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10" i="8"/>
  <c r="B9" i="8"/>
  <c r="F11" i="6"/>
  <c r="F10" i="6"/>
  <c r="F9" i="6"/>
  <c r="E10" i="3"/>
  <c r="F10" i="3" s="1"/>
  <c r="E11" i="3"/>
  <c r="F11" i="3" s="1"/>
  <c r="E12" i="3"/>
  <c r="F12" i="3" s="1"/>
  <c r="E9" i="3"/>
  <c r="F9" i="3" s="1"/>
  <c r="F11" i="4"/>
  <c r="G11" i="4" s="1"/>
  <c r="F10" i="4"/>
  <c r="G10" i="4" s="1"/>
  <c r="F9" i="4"/>
  <c r="G9" i="4" s="1"/>
  <c r="D10" i="5"/>
  <c r="E10" i="5" s="1"/>
  <c r="D11" i="5"/>
  <c r="E11" i="5" s="1"/>
  <c r="D9" i="5"/>
  <c r="E9" i="5" s="1"/>
  <c r="G12" i="4" l="1"/>
</calcChain>
</file>

<file path=xl/sharedStrings.xml><?xml version="1.0" encoding="utf-8"?>
<sst xmlns="http://schemas.openxmlformats.org/spreadsheetml/2006/main" count="159" uniqueCount="44">
  <si>
    <t>Meta-models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</si>
  <si>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</si>
  <si>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</si>
  <si>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</si>
  <si>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</si>
  <si>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</si>
  <si>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</si>
  <si>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</si>
  <si>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</si>
  <si>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</si>
  <si>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</si>
  <si>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</si>
  <si>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</si>
  <si>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</si>
  <si>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</si>
  <si>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domain-descriptive requests</t>
  </si>
  <si>
    <t>model0</t>
  </si>
  <si>
    <t>Description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</si>
  <si>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</si>
  <si>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</si>
  <si>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</si>
  <si>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</si>
  <si>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</si>
  <si>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</si>
  <si>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</si>
  <si>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</si>
  <si>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</si>
  <si>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</si>
  <si>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</si>
  <si>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</si>
  <si>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</si>
  <si>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</si>
  <si>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</si>
  <si>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</si>
  <si>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</si>
  <si>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</si>
  <si>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gpt-4.o-mini</t>
  </si>
  <si>
    <t>temp: 0.2</t>
  </si>
  <si>
    <t>UML2</t>
  </si>
  <si>
    <t>empty</t>
  </si>
  <si>
    <t>pizzeria</t>
  </si>
  <si>
    <t>ordering</t>
  </si>
  <si>
    <t>--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</si>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</sst>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name val="Aptos Narrow"/>
      <family val="2"/>
      <scheme val="minor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3" fillId="0" borderId="10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selection activeCell="D4" sqref="D4:K6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6.85546875" style="1" customWidth="1"/>
    <col min="4" max="11" width="11.28515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6" t="s">
        <v>6</v>
      </c>
      <c r="E2" s="17"/>
      <c r="F2" s="16" t="s">
        <v>7</v>
      </c>
      <c r="G2" s="17"/>
      <c r="H2" s="18" t="s">
        <v>9</v>
      </c>
      <c r="I2" s="19"/>
      <c r="J2" s="18" t="s">
        <v>15</v>
      </c>
      <c r="K2" s="19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14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0" t="s">
        <v>38</v>
      </c>
      <c r="B4" s="4" t="s">
        <v>16</v>
      </c>
      <c r="C4" s="8" t="s">
        <v>39</v>
      </c>
      <c r="D4" s="25">
        <v>3</v>
      </c>
      <c r="E4" s="26">
        <v>1</v>
      </c>
      <c r="F4" s="25">
        <v>3</v>
      </c>
      <c r="G4" s="25">
        <v>3</v>
      </c>
      <c r="H4" s="25">
        <v>1</v>
      </c>
      <c r="I4" s="25">
        <v>3</v>
      </c>
      <c r="J4" s="25">
        <v>4</v>
      </c>
      <c r="K4" s="25">
        <v>3</v>
      </c>
    </row>
    <row r="5" spans="1:11" ht="16.5" customHeight="1" thickBot="1" x14ac:dyDescent="0.3">
      <c r="A5" s="21"/>
      <c r="B5" s="5" t="s">
        <v>1</v>
      </c>
      <c r="C5" s="9" t="s">
        <v>40</v>
      </c>
      <c r="D5" s="27">
        <v>4</v>
      </c>
      <c r="E5" s="27">
        <v>4</v>
      </c>
      <c r="F5" s="27">
        <v>3</v>
      </c>
      <c r="G5" s="28">
        <v>1</v>
      </c>
      <c r="H5" s="27">
        <v>4</v>
      </c>
      <c r="I5" s="27">
        <v>1</v>
      </c>
      <c r="J5" s="27">
        <v>4</v>
      </c>
      <c r="K5" s="27">
        <v>4</v>
      </c>
    </row>
    <row r="6" spans="1:11" ht="16.5" customHeight="1" thickBot="1" x14ac:dyDescent="0.3">
      <c r="A6" s="22"/>
      <c r="B6" s="6" t="s">
        <v>2</v>
      </c>
      <c r="C6" s="10" t="s">
        <v>41</v>
      </c>
      <c r="D6" s="29">
        <v>1</v>
      </c>
      <c r="E6" s="29">
        <v>1</v>
      </c>
      <c r="F6" s="29">
        <v>1</v>
      </c>
      <c r="G6" s="30">
        <v>3</v>
      </c>
      <c r="H6" s="30">
        <v>3</v>
      </c>
      <c r="I6" s="30">
        <v>1</v>
      </c>
      <c r="J6" s="25">
        <v>3</v>
      </c>
      <c r="K6" s="25">
        <v>3</v>
      </c>
    </row>
    <row r="8" spans="1:11" x14ac:dyDescent="0.25">
      <c r="E8" t="s">
        <v>30</v>
      </c>
      <c r="F8" t="s">
        <v>31</v>
      </c>
    </row>
    <row r="9" spans="1:11" x14ac:dyDescent="0.25">
      <c r="A9" t="s">
        <v>19</v>
      </c>
      <c r="B9">
        <v>1</v>
      </c>
      <c r="C9" s="1" t="s">
        <v>20</v>
      </c>
      <c r="E9">
        <f>COUNTIF(D$4:K$6,B9)</f>
        <v>8</v>
      </c>
      <c r="F9">
        <f>100*E9/(3*8)</f>
        <v>33.333333333333336</v>
      </c>
    </row>
    <row r="10" spans="1:11" x14ac:dyDescent="0.25">
      <c r="B10">
        <v>2</v>
      </c>
      <c r="C10" s="1" t="s">
        <v>21</v>
      </c>
      <c r="E10">
        <f>COUNTIF(D$4:K$6,B10)</f>
        <v>0</v>
      </c>
      <c r="F10">
        <f t="shared" ref="F10:F12" si="0">100*E10/(3*8)</f>
        <v>0</v>
      </c>
    </row>
    <row r="11" spans="1:11" x14ac:dyDescent="0.25">
      <c r="B11">
        <v>3</v>
      </c>
      <c r="C11" s="1" t="s">
        <v>22</v>
      </c>
      <c r="E11">
        <f>COUNTIF(D$4:K$6,B11)</f>
        <v>10</v>
      </c>
      <c r="F11">
        <f t="shared" si="0"/>
        <v>41.666666666666664</v>
      </c>
    </row>
    <row r="12" spans="1:11" x14ac:dyDescent="0.25">
      <c r="B12">
        <v>4</v>
      </c>
      <c r="C12" s="1" t="s">
        <v>43</v>
      </c>
      <c r="E12">
        <f>COUNTIF(D$4:K$6,B12)</f>
        <v>6</v>
      </c>
      <c r="F12">
        <f t="shared" si="0"/>
        <v>25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="85" zoomScaleNormal="85"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11.710937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6" t="s">
        <v>6</v>
      </c>
      <c r="E2" s="17"/>
      <c r="F2" s="16" t="s">
        <v>7</v>
      </c>
      <c r="G2" s="17"/>
      <c r="H2" s="23" t="s">
        <v>9</v>
      </c>
      <c r="I2" s="24"/>
      <c r="J2" s="24" t="s">
        <v>15</v>
      </c>
      <c r="K2" s="24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0" t="s">
        <v>38</v>
      </c>
      <c r="B4" s="4" t="s">
        <v>16</v>
      </c>
      <c r="C4" s="8" t="s">
        <v>39</v>
      </c>
      <c r="D4" s="31">
        <v>3</v>
      </c>
      <c r="E4" s="32">
        <v>1</v>
      </c>
      <c r="F4" s="31">
        <v>3</v>
      </c>
      <c r="G4" s="31">
        <v>1</v>
      </c>
      <c r="H4" s="31">
        <v>1</v>
      </c>
      <c r="I4" s="31">
        <v>3</v>
      </c>
      <c r="J4" s="33" t="s">
        <v>42</v>
      </c>
      <c r="K4" s="31">
        <v>1</v>
      </c>
    </row>
    <row r="5" spans="1:11" ht="16.5" customHeight="1" x14ac:dyDescent="0.25">
      <c r="A5" s="21"/>
      <c r="B5" s="5" t="s">
        <v>1</v>
      </c>
      <c r="C5" s="9" t="s">
        <v>40</v>
      </c>
      <c r="D5" s="34" t="s">
        <v>42</v>
      </c>
      <c r="E5" s="35" t="s">
        <v>42</v>
      </c>
      <c r="F5" s="36">
        <v>1</v>
      </c>
      <c r="G5" s="36">
        <v>1</v>
      </c>
      <c r="H5" s="34" t="s">
        <v>42</v>
      </c>
      <c r="I5" s="36">
        <v>1</v>
      </c>
      <c r="J5" s="34" t="s">
        <v>42</v>
      </c>
      <c r="K5" s="34" t="s">
        <v>42</v>
      </c>
    </row>
    <row r="6" spans="1:11" ht="16.5" customHeight="1" thickBot="1" x14ac:dyDescent="0.35">
      <c r="A6" s="22"/>
      <c r="B6" s="6" t="s">
        <v>2</v>
      </c>
      <c r="C6" s="10" t="s">
        <v>41</v>
      </c>
      <c r="D6" s="37">
        <v>1</v>
      </c>
      <c r="E6" s="37">
        <v>1</v>
      </c>
      <c r="F6" s="37">
        <v>1</v>
      </c>
      <c r="G6" s="38">
        <v>1</v>
      </c>
      <c r="H6" s="37">
        <v>2</v>
      </c>
      <c r="I6" s="39">
        <v>1</v>
      </c>
      <c r="J6" s="39">
        <v>1</v>
      </c>
      <c r="K6" s="39">
        <v>1</v>
      </c>
    </row>
    <row r="8" spans="1:11" x14ac:dyDescent="0.25">
      <c r="F8" t="s">
        <v>30</v>
      </c>
      <c r="G8" t="s">
        <v>31</v>
      </c>
    </row>
    <row r="9" spans="1:11" x14ac:dyDescent="0.25">
      <c r="A9" t="s">
        <v>19</v>
      </c>
      <c r="B9">
        <v>1</v>
      </c>
      <c r="C9" s="1" t="s">
        <v>20</v>
      </c>
      <c r="F9">
        <f>COUNTIF(D$4:K$6,B9)</f>
        <v>14</v>
      </c>
      <c r="G9">
        <f>100*F9/(8*3-6)</f>
        <v>77.777777777777771</v>
      </c>
    </row>
    <row r="10" spans="1:11" x14ac:dyDescent="0.25">
      <c r="B10">
        <v>2</v>
      </c>
      <c r="C10" s="1" t="s">
        <v>23</v>
      </c>
      <c r="F10">
        <f>COUNTIF(D$4:K$6,B10)</f>
        <v>1</v>
      </c>
      <c r="G10">
        <f t="shared" ref="G10:G11" si="0">100*F10/(8*3-6)</f>
        <v>5.5555555555555554</v>
      </c>
    </row>
    <row r="11" spans="1:11" x14ac:dyDescent="0.25">
      <c r="B11">
        <v>3</v>
      </c>
      <c r="C11" s="1" t="s">
        <v>29</v>
      </c>
      <c r="F11">
        <f>COUNTIF(D$4:K$6,B11)</f>
        <v>3</v>
      </c>
      <c r="G11">
        <f t="shared" si="0"/>
        <v>16.666666666666668</v>
      </c>
    </row>
    <row r="12" spans="1:11" x14ac:dyDescent="0.25">
      <c r="G12">
        <f>SUM(G9:G11)</f>
        <v>100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D4" sqref="D4:K6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7.140625" style="1" customWidth="1"/>
    <col min="4" max="11" width="10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6" t="s">
        <v>6</v>
      </c>
      <c r="E2" s="17"/>
      <c r="F2" s="16" t="s">
        <v>7</v>
      </c>
      <c r="G2" s="17"/>
      <c r="H2" s="18" t="s">
        <v>9</v>
      </c>
      <c r="I2" s="19"/>
      <c r="J2" s="18" t="s">
        <v>15</v>
      </c>
      <c r="K2" s="19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0" t="s">
        <v>38</v>
      </c>
      <c r="B4" s="4" t="s">
        <v>16</v>
      </c>
      <c r="C4" s="8" t="s">
        <v>39</v>
      </c>
      <c r="D4" s="40">
        <v>3</v>
      </c>
      <c r="E4" s="32">
        <v>1</v>
      </c>
      <c r="F4" s="31">
        <v>3</v>
      </c>
      <c r="G4" s="31">
        <v>1</v>
      </c>
      <c r="H4" s="31">
        <v>1</v>
      </c>
      <c r="I4" s="31">
        <v>2</v>
      </c>
      <c r="J4" s="31">
        <v>1</v>
      </c>
      <c r="K4" s="31">
        <v>3</v>
      </c>
    </row>
    <row r="5" spans="1:11" ht="16.5" customHeight="1" x14ac:dyDescent="0.25">
      <c r="A5" s="21"/>
      <c r="B5" s="5" t="s">
        <v>1</v>
      </c>
      <c r="C5" s="9" t="s">
        <v>40</v>
      </c>
      <c r="D5" s="36">
        <v>1</v>
      </c>
      <c r="E5" s="36">
        <v>1</v>
      </c>
      <c r="F5" s="36">
        <v>2</v>
      </c>
      <c r="G5" s="36">
        <v>3</v>
      </c>
      <c r="H5" s="36">
        <v>1</v>
      </c>
      <c r="I5" s="36">
        <v>3</v>
      </c>
      <c r="J5" s="36">
        <v>1</v>
      </c>
      <c r="K5" s="36">
        <v>1</v>
      </c>
    </row>
    <row r="6" spans="1:11" ht="16.5" customHeight="1" thickBot="1" x14ac:dyDescent="0.35">
      <c r="A6" s="22"/>
      <c r="B6" s="6" t="s">
        <v>2</v>
      </c>
      <c r="C6" s="10" t="s">
        <v>41</v>
      </c>
      <c r="D6" s="37">
        <v>3</v>
      </c>
      <c r="E6" s="41">
        <v>3</v>
      </c>
      <c r="F6" s="37">
        <v>3</v>
      </c>
      <c r="G6" s="37">
        <v>3</v>
      </c>
      <c r="H6" s="37">
        <v>2</v>
      </c>
      <c r="I6" s="39">
        <v>3</v>
      </c>
      <c r="J6" s="39">
        <v>2</v>
      </c>
      <c r="K6" s="37">
        <v>3</v>
      </c>
    </row>
    <row r="8" spans="1:11" x14ac:dyDescent="0.25">
      <c r="D8" t="s">
        <v>30</v>
      </c>
      <c r="E8" t="s">
        <v>31</v>
      </c>
    </row>
    <row r="9" spans="1:11" x14ac:dyDescent="0.25">
      <c r="A9" t="s">
        <v>19</v>
      </c>
      <c r="B9">
        <v>1</v>
      </c>
      <c r="C9" s="1" t="s">
        <v>24</v>
      </c>
      <c r="D9">
        <f>COUNTIF(D$4:K$6,B9)</f>
        <v>9</v>
      </c>
      <c r="E9">
        <f>100*D9/(3*8)</f>
        <v>37.5</v>
      </c>
    </row>
    <row r="10" spans="1:11" x14ac:dyDescent="0.25">
      <c r="B10">
        <v>2</v>
      </c>
      <c r="C10" s="1" t="s">
        <v>25</v>
      </c>
      <c r="D10">
        <f>COUNTIF(D$4:K$6,B10)</f>
        <v>4</v>
      </c>
      <c r="E10">
        <f t="shared" ref="E10:E11" si="0">100*D10/(3*8)</f>
        <v>16.666666666666668</v>
      </c>
    </row>
    <row r="11" spans="1:11" x14ac:dyDescent="0.25">
      <c r="B11">
        <v>3</v>
      </c>
      <c r="C11" s="1" t="s">
        <v>26</v>
      </c>
      <c r="D11">
        <f>COUNTIF(D$4:K$6,B11)</f>
        <v>11</v>
      </c>
      <c r="E11">
        <f t="shared" si="0"/>
        <v>45.833333333333336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5.42578125" style="1" customWidth="1"/>
    <col min="4" max="11" width="14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6" t="s">
        <v>6</v>
      </c>
      <c r="E2" s="17"/>
      <c r="F2" s="16" t="s">
        <v>7</v>
      </c>
      <c r="G2" s="17"/>
      <c r="H2" s="18" t="s">
        <v>9</v>
      </c>
      <c r="I2" s="19"/>
      <c r="J2" s="18" t="s">
        <v>15</v>
      </c>
      <c r="K2" s="19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0" t="s">
        <v>38</v>
      </c>
      <c r="B4" s="4" t="s">
        <v>16</v>
      </c>
      <c r="C4" s="8" t="s">
        <v>39</v>
      </c>
      <c r="D4" s="4">
        <v>4</v>
      </c>
      <c r="E4" s="11">
        <v>4</v>
      </c>
      <c r="F4" s="4">
        <v>9</v>
      </c>
      <c r="G4" s="4">
        <v>5</v>
      </c>
      <c r="H4" s="4">
        <v>1</v>
      </c>
      <c r="I4" s="4">
        <v>7</v>
      </c>
      <c r="J4" s="4">
        <v>0</v>
      </c>
      <c r="K4" s="4">
        <v>11</v>
      </c>
    </row>
    <row r="5" spans="1:11" ht="16.5" customHeight="1" x14ac:dyDescent="0.25">
      <c r="A5" s="21"/>
      <c r="B5" s="5" t="s">
        <v>1</v>
      </c>
      <c r="C5" s="9" t="s">
        <v>40</v>
      </c>
      <c r="D5" s="5">
        <v>0</v>
      </c>
      <c r="E5" s="12">
        <v>0</v>
      </c>
      <c r="F5" s="5">
        <v>4</v>
      </c>
      <c r="G5" s="5">
        <v>2</v>
      </c>
      <c r="H5" s="5">
        <v>0</v>
      </c>
      <c r="I5" s="5">
        <v>2</v>
      </c>
      <c r="J5" s="5">
        <v>0</v>
      </c>
      <c r="K5" s="5">
        <v>0</v>
      </c>
    </row>
    <row r="6" spans="1:11" ht="16.5" customHeight="1" thickBot="1" x14ac:dyDescent="0.35">
      <c r="A6" s="22"/>
      <c r="B6" s="6" t="s">
        <v>2</v>
      </c>
      <c r="C6" s="10" t="s">
        <v>41</v>
      </c>
      <c r="D6" s="6">
        <v>10</v>
      </c>
      <c r="E6" s="13">
        <v>2</v>
      </c>
      <c r="F6" s="6">
        <v>1</v>
      </c>
      <c r="G6" s="6">
        <v>10</v>
      </c>
      <c r="H6" s="6">
        <v>13</v>
      </c>
      <c r="I6" s="15">
        <v>3</v>
      </c>
      <c r="J6" s="15">
        <v>7</v>
      </c>
      <c r="K6" s="6">
        <v>7</v>
      </c>
    </row>
    <row r="8" spans="1:11" x14ac:dyDescent="0.25">
      <c r="A8" t="s">
        <v>35</v>
      </c>
      <c r="B8">
        <f>SUM(D4:K6)/120</f>
        <v>0.85</v>
      </c>
    </row>
    <row r="9" spans="1:11" x14ac:dyDescent="0.25">
      <c r="A9" t="s">
        <v>33</v>
      </c>
      <c r="B9">
        <f>MIN(D4:K6)</f>
        <v>0</v>
      </c>
    </row>
    <row r="10" spans="1:11" x14ac:dyDescent="0.25">
      <c r="A10" t="s">
        <v>34</v>
      </c>
      <c r="B10">
        <f>MAX(D4:K6)</f>
        <v>13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G15" sqref="G15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9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6" t="s">
        <v>6</v>
      </c>
      <c r="E2" s="17"/>
      <c r="F2" s="16" t="s">
        <v>7</v>
      </c>
      <c r="G2" s="17"/>
      <c r="H2" s="23" t="s">
        <v>9</v>
      </c>
      <c r="I2" s="24"/>
      <c r="J2" s="24" t="s">
        <v>15</v>
      </c>
      <c r="K2" s="24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0" t="s">
        <v>38</v>
      </c>
      <c r="B4" s="4" t="s">
        <v>16</v>
      </c>
      <c r="C4" s="8" t="s">
        <v>39</v>
      </c>
      <c r="D4" s="4">
        <v>15.85</v>
      </c>
      <c r="E4" s="11">
        <v>19.64</v>
      </c>
      <c r="F4" s="4">
        <v>17.649999999999999</v>
      </c>
      <c r="G4" s="4">
        <v>28.42</v>
      </c>
      <c r="H4" s="4">
        <v>10.54</v>
      </c>
      <c r="I4" s="4">
        <v>13.49</v>
      </c>
      <c r="J4" s="4">
        <v>0</v>
      </c>
      <c r="K4" s="4">
        <v>20.22</v>
      </c>
    </row>
    <row r="5" spans="1:11" ht="16.5" customHeight="1" x14ac:dyDescent="0.25">
      <c r="A5" s="21"/>
      <c r="B5" s="5" t="s">
        <v>1</v>
      </c>
      <c r="C5" s="9" t="s">
        <v>40</v>
      </c>
      <c r="D5" s="5">
        <v>20.37</v>
      </c>
      <c r="E5" s="12">
        <v>12.16</v>
      </c>
      <c r="F5" s="5">
        <v>21.07</v>
      </c>
      <c r="G5" s="5">
        <v>12.68</v>
      </c>
      <c r="H5" s="5">
        <v>34.15</v>
      </c>
      <c r="I5" s="5">
        <v>8.1199999999999992</v>
      </c>
      <c r="J5" s="5">
        <v>19.34</v>
      </c>
      <c r="K5" s="5">
        <v>25.87</v>
      </c>
    </row>
    <row r="6" spans="1:11" ht="16.5" customHeight="1" thickBot="1" x14ac:dyDescent="0.3">
      <c r="A6" s="22"/>
      <c r="B6" s="6" t="s">
        <v>2</v>
      </c>
      <c r="C6" s="10" t="s">
        <v>41</v>
      </c>
      <c r="D6" s="6">
        <v>19.72</v>
      </c>
      <c r="E6" s="13">
        <v>13.66</v>
      </c>
      <c r="F6" s="6">
        <v>7.7</v>
      </c>
      <c r="G6" s="6">
        <v>30.58</v>
      </c>
      <c r="H6" s="6">
        <v>30.53</v>
      </c>
      <c r="I6" s="6">
        <v>13.19</v>
      </c>
      <c r="J6" s="6">
        <v>30.18</v>
      </c>
      <c r="K6" s="6">
        <v>25.69</v>
      </c>
    </row>
    <row r="9" spans="1:11" x14ac:dyDescent="0.25">
      <c r="A9" t="s">
        <v>19</v>
      </c>
      <c r="C9" s="1" t="s">
        <v>27</v>
      </c>
      <c r="D9" t="s">
        <v>28</v>
      </c>
      <c r="E9" t="s">
        <v>32</v>
      </c>
      <c r="F9">
        <f>MEDIAN(D4:K6)</f>
        <v>19.490000000000002</v>
      </c>
    </row>
    <row r="10" spans="1:11" x14ac:dyDescent="0.25">
      <c r="E10" t="s">
        <v>33</v>
      </c>
      <c r="F10">
        <f>MIN(D4:K6)</f>
        <v>0</v>
      </c>
    </row>
    <row r="11" spans="1:11" x14ac:dyDescent="0.25">
      <c r="E11" t="s">
        <v>34</v>
      </c>
      <c r="F11">
        <f>MAX(D4:K6)</f>
        <v>34.15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eval run syntax</vt:lpstr>
      <vt:lpstr>eval run redundancy</vt:lpstr>
      <vt:lpstr>eval run correctness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2026-03-11T20:03:58Z</dcterms:modified>
</cp:coreProperties>
</file>