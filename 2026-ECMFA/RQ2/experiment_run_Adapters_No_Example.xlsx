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\emf-kaizen-experiments\2026-ECMFA\RQ2\"/>
    </mc:Choice>
  </mc:AlternateContent>
  <xr:revisionPtr revIDLastSave="0" documentId="13_ncr:1_{EBB34417-2C4B-44F0-98D7-42A7B1885E1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sizes" sheetId="8" r:id="rId4"/>
    <sheet name="eval run tim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G12" i="4"/>
  <c r="B10" i="8"/>
  <c r="B9" i="8"/>
  <c r="F11" i="6"/>
  <c r="F10" i="6"/>
  <c r="F9" i="6"/>
  <c r="E10" i="3"/>
  <c r="F10" i="3" s="1"/>
  <c r="E11" i="3"/>
  <c r="F11" i="3" s="1"/>
  <c r="E12" i="3"/>
  <c r="F12" i="3" s="1"/>
  <c r="E9" i="3"/>
  <c r="F9" i="3" s="1"/>
  <c r="F14" i="4"/>
  <c r="G14" i="4" s="1"/>
  <c r="F13" i="4"/>
  <c r="G13" i="4" s="1"/>
  <c r="F12" i="4"/>
  <c r="D10" i="5"/>
  <c r="E10" i="5" s="1"/>
  <c r="D11" i="5"/>
  <c r="E11" i="5" s="1"/>
  <c r="D9" i="5"/>
  <c r="E9" i="5" s="1"/>
</calcChain>
</file>

<file path=xl/sharedStrings.xml><?xml version="1.0" encoding="utf-8"?>
<sst xmlns="http://schemas.openxmlformats.org/spreadsheetml/2006/main" count="162" uniqueCount="45">
  <si>
    <t>Meta-models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</si>
  <si>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</si>
  <si>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</si>
  <si>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</si>
  <si>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</si>
  <si>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</si>
  <si>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</si>
  <si>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</si>
  <si>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</si>
  <si>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</si>
  <si>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</si>
  <si>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</si>
  <si>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</si>
  <si>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</si>
  <si>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</si>
  <si>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domain-descriptive requests</t>
  </si>
  <si>
    <t>model0</t>
  </si>
  <si>
    <t>Description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</si>
  <si>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</si>
  <si>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</si>
  <si>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</si>
  <si>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</si>
  <si>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</si>
  <si>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</si>
  <si>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Low fidelity</t>
  </si>
  <si>
    <t>Partial fidelity</t>
  </si>
  <si>
    <t>High fidelity</t>
  </si>
  <si>
    <t>time taken</t>
  </si>
  <si>
    <t>time is in seconds</t>
  </si>
  <si>
    <t>Has ALL the model repeated</t>
  </si>
  <si>
    <t>count</t>
  </si>
  <si>
    <t>percentage</t>
  </si>
  <si>
    <t>median</t>
  </si>
  <si>
    <t>min</t>
  </si>
  <si>
    <t>max</t>
  </si>
  <si>
    <t>average</t>
  </si>
  <si>
    <t>gpt-4.o-mini</t>
  </si>
  <si>
    <t>temp: 0.2</t>
  </si>
  <si>
    <t>Adapters</t>
  </si>
  <si>
    <t>UML2</t>
  </si>
  <si>
    <t>empty</t>
  </si>
  <si>
    <t>State machines adaptive lang</t>
  </si>
  <si>
    <t>ClassDiagrams adaptive Lang</t>
  </si>
  <si>
    <t>NO EXAMPLE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</si>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</sst>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" borderId="1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Normal="100" workbookViewId="0">
      <selection activeCell="A2" sqref="A2:XFD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6.85546875" style="1" customWidth="1"/>
    <col min="4" max="11" width="11.28515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43</v>
      </c>
    </row>
    <row r="2" spans="1:11" ht="15.75" thickBot="1" x14ac:dyDescent="0.3">
      <c r="D2" s="23" t="s">
        <v>6</v>
      </c>
      <c r="E2" s="24"/>
      <c r="F2" s="23" t="s">
        <v>7</v>
      </c>
      <c r="G2" s="24"/>
      <c r="H2" s="25" t="s">
        <v>9</v>
      </c>
      <c r="I2" s="26"/>
      <c r="J2" s="25" t="s">
        <v>15</v>
      </c>
      <c r="K2" s="26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14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7" t="s">
        <v>38</v>
      </c>
      <c r="B4" s="4" t="s">
        <v>16</v>
      </c>
      <c r="C4" s="8" t="s">
        <v>40</v>
      </c>
      <c r="D4" s="4">
        <v>1</v>
      </c>
      <c r="E4" s="11">
        <v>1</v>
      </c>
      <c r="F4" s="4">
        <v>1</v>
      </c>
      <c r="G4" s="11">
        <v>1</v>
      </c>
      <c r="H4" s="4">
        <v>1</v>
      </c>
      <c r="I4" s="4">
        <v>1</v>
      </c>
      <c r="J4" s="4">
        <v>1</v>
      </c>
      <c r="K4" s="4">
        <v>1</v>
      </c>
    </row>
    <row r="5" spans="1:11" ht="16.5" customHeight="1" x14ac:dyDescent="0.25">
      <c r="A5" s="28"/>
      <c r="B5" s="5" t="s">
        <v>1</v>
      </c>
      <c r="C5" s="9" t="s">
        <v>41</v>
      </c>
      <c r="D5" s="5">
        <v>1</v>
      </c>
      <c r="E5" s="12">
        <v>1</v>
      </c>
      <c r="F5" s="5">
        <v>1</v>
      </c>
      <c r="G5" s="12">
        <v>1</v>
      </c>
      <c r="H5" s="5">
        <v>1</v>
      </c>
      <c r="I5" s="5">
        <v>1</v>
      </c>
      <c r="J5" s="5">
        <v>1</v>
      </c>
      <c r="K5" s="5">
        <v>1</v>
      </c>
    </row>
    <row r="6" spans="1:11" ht="16.5" customHeight="1" thickBot="1" x14ac:dyDescent="0.35">
      <c r="A6" s="29"/>
      <c r="B6" s="6" t="s">
        <v>2</v>
      </c>
      <c r="C6" s="10" t="s">
        <v>42</v>
      </c>
      <c r="D6" s="6">
        <v>1</v>
      </c>
      <c r="E6" s="13">
        <v>1</v>
      </c>
      <c r="F6" s="6">
        <v>1</v>
      </c>
      <c r="G6" s="13">
        <v>1</v>
      </c>
      <c r="H6" s="6">
        <v>1</v>
      </c>
      <c r="I6" s="16">
        <v>1</v>
      </c>
      <c r="J6" s="16">
        <v>1</v>
      </c>
      <c r="K6" s="6">
        <v>1</v>
      </c>
    </row>
    <row r="8" spans="1:11" x14ac:dyDescent="0.25">
      <c r="E8" t="s">
        <v>30</v>
      </c>
      <c r="F8" t="s">
        <v>31</v>
      </c>
    </row>
    <row r="9" spans="1:11" x14ac:dyDescent="0.25">
      <c r="A9" t="s">
        <v>19</v>
      </c>
      <c r="B9">
        <v>1</v>
      </c>
      <c r="C9" s="1" t="s">
        <v>20</v>
      </c>
      <c r="E9">
        <f>COUNTIF(D$4:K$6,B9)</f>
        <v>24</v>
      </c>
      <c r="F9">
        <f>100*E9/(3*8)</f>
        <v>100</v>
      </c>
    </row>
    <row r="10" spans="1:11" x14ac:dyDescent="0.25">
      <c r="B10">
        <v>2</v>
      </c>
      <c r="C10" s="1" t="s">
        <v>21</v>
      </c>
      <c r="E10">
        <f>COUNTIF(D$4:K$6,B10)</f>
        <v>0</v>
      </c>
      <c r="F10">
        <f t="shared" ref="F10:F12" si="0">100*E10/(15*8)</f>
        <v>0</v>
      </c>
    </row>
    <row r="11" spans="1:11" x14ac:dyDescent="0.25">
      <c r="B11">
        <v>3</v>
      </c>
      <c r="C11" s="1" t="s">
        <v>22</v>
      </c>
      <c r="E11">
        <f>COUNTIF(D$4:K$6,B11)</f>
        <v>0</v>
      </c>
      <c r="F11">
        <f t="shared" si="0"/>
        <v>0</v>
      </c>
    </row>
    <row r="12" spans="1:11" x14ac:dyDescent="0.25">
      <c r="B12">
        <v>4</v>
      </c>
      <c r="C12" s="1" t="s">
        <v>44</v>
      </c>
      <c r="E12">
        <f>COUNTIF(D$4:K$6,B12)</f>
        <v>0</v>
      </c>
      <c r="F12">
        <f t="shared" si="0"/>
        <v>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85" zoomScaleNormal="85" workbookViewId="0">
      <selection activeCell="G13" sqref="G13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11.710937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43</v>
      </c>
    </row>
    <row r="2" spans="1:11" ht="15.75" thickBot="1" x14ac:dyDescent="0.3">
      <c r="D2" s="23" t="s">
        <v>6</v>
      </c>
      <c r="E2" s="24"/>
      <c r="F2" s="23" t="s">
        <v>7</v>
      </c>
      <c r="G2" s="24"/>
      <c r="H2" s="30" t="s">
        <v>9</v>
      </c>
      <c r="I2" s="31"/>
      <c r="J2" s="31" t="s">
        <v>15</v>
      </c>
      <c r="K2" s="31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7" t="s">
        <v>38</v>
      </c>
      <c r="B4" s="4" t="s">
        <v>16</v>
      </c>
      <c r="C4" s="8" t="s">
        <v>40</v>
      </c>
      <c r="D4" s="4">
        <v>1</v>
      </c>
      <c r="E4" s="11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</row>
    <row r="5" spans="1:11" ht="16.5" customHeight="1" x14ac:dyDescent="0.25">
      <c r="A5" s="28"/>
      <c r="B5" s="5" t="s">
        <v>1</v>
      </c>
      <c r="C5" s="9" t="s">
        <v>41</v>
      </c>
      <c r="D5" s="5">
        <v>1</v>
      </c>
      <c r="E5" s="12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</row>
    <row r="6" spans="1:11" ht="16.5" customHeight="1" thickBot="1" x14ac:dyDescent="0.35">
      <c r="A6" s="29"/>
      <c r="B6" s="6" t="s">
        <v>2</v>
      </c>
      <c r="C6" s="10" t="s">
        <v>42</v>
      </c>
      <c r="D6" s="6">
        <v>1</v>
      </c>
      <c r="E6" s="13">
        <v>1</v>
      </c>
      <c r="F6" s="6">
        <v>1</v>
      </c>
      <c r="G6" s="19">
        <v>1</v>
      </c>
      <c r="H6" s="6">
        <v>1</v>
      </c>
      <c r="I6" s="16">
        <v>1</v>
      </c>
      <c r="J6" s="16">
        <v>1</v>
      </c>
      <c r="K6" s="6">
        <v>1</v>
      </c>
    </row>
    <row r="7" spans="1:11" ht="16.5" customHeight="1" x14ac:dyDescent="0.25">
      <c r="A7" s="20" t="s">
        <v>39</v>
      </c>
      <c r="B7" s="4" t="s">
        <v>16</v>
      </c>
      <c r="C7" s="8"/>
      <c r="D7" s="4"/>
      <c r="E7" s="11"/>
      <c r="F7" s="4"/>
      <c r="G7" s="17"/>
      <c r="H7" s="4"/>
      <c r="I7" s="4"/>
      <c r="J7" s="4"/>
      <c r="K7" s="4"/>
    </row>
    <row r="8" spans="1:11" ht="16.5" customHeight="1" x14ac:dyDescent="0.25">
      <c r="A8" s="21"/>
      <c r="B8" s="5" t="s">
        <v>1</v>
      </c>
      <c r="C8" s="9"/>
      <c r="D8" s="5"/>
      <c r="E8" s="12"/>
      <c r="F8" s="5"/>
      <c r="G8" s="15"/>
      <c r="H8" s="5"/>
      <c r="I8" s="5"/>
      <c r="J8" s="5"/>
      <c r="K8" s="5"/>
    </row>
    <row r="9" spans="1:11" ht="16.5" customHeight="1" thickBot="1" x14ac:dyDescent="0.3">
      <c r="A9" s="22"/>
      <c r="B9" s="6" t="s">
        <v>2</v>
      </c>
      <c r="C9" s="10"/>
      <c r="D9" s="6"/>
      <c r="E9" s="13"/>
      <c r="F9" s="6"/>
      <c r="G9" s="18"/>
      <c r="H9" s="6"/>
      <c r="I9" s="6"/>
      <c r="J9" s="6"/>
      <c r="K9" s="6"/>
    </row>
    <row r="11" spans="1:11" x14ac:dyDescent="0.25">
      <c r="F11" t="s">
        <v>30</v>
      </c>
      <c r="G11" t="s">
        <v>31</v>
      </c>
    </row>
    <row r="12" spans="1:11" x14ac:dyDescent="0.25">
      <c r="A12" t="s">
        <v>19</v>
      </c>
      <c r="B12">
        <v>1</v>
      </c>
      <c r="C12" s="1" t="s">
        <v>20</v>
      </c>
      <c r="F12">
        <f>COUNTIF(D$4:K$9,B12)</f>
        <v>24</v>
      </c>
      <c r="G12">
        <f>100*F12/(3*8)</f>
        <v>100</v>
      </c>
    </row>
    <row r="13" spans="1:11" x14ac:dyDescent="0.25">
      <c r="B13">
        <v>2</v>
      </c>
      <c r="C13" s="1" t="s">
        <v>23</v>
      </c>
      <c r="F13">
        <f>COUNTIF(D$4:K$9,B13)</f>
        <v>0</v>
      </c>
      <c r="G13">
        <f t="shared" ref="G13:G14" si="0">100*F13/(15*8)</f>
        <v>0</v>
      </c>
    </row>
    <row r="14" spans="1:11" x14ac:dyDescent="0.25">
      <c r="B14">
        <v>3</v>
      </c>
      <c r="C14" s="1" t="s">
        <v>29</v>
      </c>
      <c r="F14">
        <f>COUNTIF(D$4:K$9,B14)</f>
        <v>0</v>
      </c>
      <c r="G14">
        <f t="shared" si="0"/>
        <v>0</v>
      </c>
    </row>
  </sheetData>
  <mergeCells count="6">
    <mergeCell ref="A7:A9"/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zoomScale="90" zoomScaleNormal="90" workbookViewId="0">
      <selection activeCell="C14" sqref="C14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7.140625" style="1" customWidth="1"/>
    <col min="4" max="11" width="10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43</v>
      </c>
    </row>
    <row r="2" spans="1:11" ht="15.75" thickBot="1" x14ac:dyDescent="0.3">
      <c r="D2" s="23" t="s">
        <v>6</v>
      </c>
      <c r="E2" s="24"/>
      <c r="F2" s="23" t="s">
        <v>7</v>
      </c>
      <c r="G2" s="24"/>
      <c r="H2" s="25" t="s">
        <v>9</v>
      </c>
      <c r="I2" s="26"/>
      <c r="J2" s="25" t="s">
        <v>15</v>
      </c>
      <c r="K2" s="26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7" t="s">
        <v>38</v>
      </c>
      <c r="B4" s="4" t="s">
        <v>16</v>
      </c>
      <c r="C4" s="8" t="s">
        <v>40</v>
      </c>
      <c r="D4" s="4">
        <v>2</v>
      </c>
      <c r="E4" s="11">
        <v>2</v>
      </c>
      <c r="F4" s="4">
        <v>2</v>
      </c>
      <c r="G4" s="4">
        <v>3</v>
      </c>
      <c r="H4" s="4">
        <v>2</v>
      </c>
      <c r="I4" s="4">
        <v>2</v>
      </c>
      <c r="J4" s="4">
        <v>2</v>
      </c>
      <c r="K4" s="4">
        <v>2</v>
      </c>
    </row>
    <row r="5" spans="1:11" ht="16.5" customHeight="1" x14ac:dyDescent="0.25">
      <c r="A5" s="28"/>
      <c r="B5" s="5" t="s">
        <v>1</v>
      </c>
      <c r="C5" s="9" t="s">
        <v>41</v>
      </c>
      <c r="D5" s="5">
        <v>2</v>
      </c>
      <c r="E5" s="12">
        <v>2</v>
      </c>
      <c r="F5" s="5">
        <v>3</v>
      </c>
      <c r="G5" s="5">
        <v>2</v>
      </c>
      <c r="H5" s="5">
        <v>3</v>
      </c>
      <c r="I5" s="5">
        <v>3</v>
      </c>
      <c r="J5" s="5">
        <v>2</v>
      </c>
      <c r="K5" s="5">
        <v>3</v>
      </c>
    </row>
    <row r="6" spans="1:11" ht="16.5" customHeight="1" thickBot="1" x14ac:dyDescent="0.35">
      <c r="A6" s="29"/>
      <c r="B6" s="6" t="s">
        <v>2</v>
      </c>
      <c r="C6" s="10" t="s">
        <v>42</v>
      </c>
      <c r="D6" s="6">
        <v>1</v>
      </c>
      <c r="E6" s="13">
        <v>2</v>
      </c>
      <c r="F6" s="6">
        <v>3</v>
      </c>
      <c r="G6" s="6">
        <v>2</v>
      </c>
      <c r="H6" s="6">
        <v>2</v>
      </c>
      <c r="I6" s="16">
        <v>1</v>
      </c>
      <c r="J6" s="16">
        <v>2</v>
      </c>
      <c r="K6" s="6">
        <v>3</v>
      </c>
    </row>
    <row r="8" spans="1:11" x14ac:dyDescent="0.25">
      <c r="D8" t="s">
        <v>30</v>
      </c>
      <c r="E8" t="s">
        <v>31</v>
      </c>
    </row>
    <row r="9" spans="1:11" x14ac:dyDescent="0.25">
      <c r="A9" t="s">
        <v>19</v>
      </c>
      <c r="B9">
        <v>1</v>
      </c>
      <c r="C9" s="1" t="s">
        <v>24</v>
      </c>
      <c r="D9">
        <f>COUNTIF(D$4:K$6,B9)</f>
        <v>2</v>
      </c>
      <c r="E9">
        <f>100*D9/(3*8)</f>
        <v>8.3333333333333339</v>
      </c>
    </row>
    <row r="10" spans="1:11" x14ac:dyDescent="0.25">
      <c r="B10">
        <v>2</v>
      </c>
      <c r="C10" s="1" t="s">
        <v>25</v>
      </c>
      <c r="D10">
        <f>COUNTIF(D$4:K$6,B10)</f>
        <v>15</v>
      </c>
      <c r="E10">
        <f t="shared" ref="E10:E11" si="0">100*D10/(3*8)</f>
        <v>62.5</v>
      </c>
    </row>
    <row r="11" spans="1:11" x14ac:dyDescent="0.25">
      <c r="B11">
        <v>3</v>
      </c>
      <c r="C11" s="1" t="s">
        <v>26</v>
      </c>
      <c r="D11">
        <f>COUNTIF(D$4:K$6,B11)</f>
        <v>7</v>
      </c>
      <c r="E11">
        <f t="shared" si="0"/>
        <v>29.166666666666668</v>
      </c>
    </row>
  </sheetData>
  <mergeCells count="5">
    <mergeCell ref="D2:E2"/>
    <mergeCell ref="F2:G2"/>
    <mergeCell ref="H2:I2"/>
    <mergeCell ref="J2:K2"/>
    <mergeCell ref="A4:A6"/>
  </mergeCells>
  <conditionalFormatting sqref="D6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K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workbookViewId="0">
      <selection activeCell="C16" sqref="C16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5.42578125" style="1" customWidth="1"/>
    <col min="4" max="11" width="14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43</v>
      </c>
    </row>
    <row r="2" spans="1:11" ht="15.75" thickBot="1" x14ac:dyDescent="0.3">
      <c r="D2" s="23" t="s">
        <v>6</v>
      </c>
      <c r="E2" s="24"/>
      <c r="F2" s="23" t="s">
        <v>7</v>
      </c>
      <c r="G2" s="24"/>
      <c r="H2" s="25" t="s">
        <v>9</v>
      </c>
      <c r="I2" s="26"/>
      <c r="J2" s="25" t="s">
        <v>15</v>
      </c>
      <c r="K2" s="26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7" t="s">
        <v>38</v>
      </c>
      <c r="B4" s="4" t="s">
        <v>16</v>
      </c>
      <c r="C4" s="8" t="s">
        <v>40</v>
      </c>
      <c r="D4" s="4">
        <v>4</v>
      </c>
      <c r="E4" s="11">
        <v>9</v>
      </c>
      <c r="F4" s="4">
        <v>13</v>
      </c>
      <c r="G4" s="4">
        <v>9</v>
      </c>
      <c r="H4" s="4">
        <v>13</v>
      </c>
      <c r="I4" s="4">
        <v>17</v>
      </c>
      <c r="J4" s="4">
        <v>4</v>
      </c>
      <c r="K4" s="4">
        <v>9</v>
      </c>
    </row>
    <row r="5" spans="1:11" ht="16.5" customHeight="1" x14ac:dyDescent="0.25">
      <c r="A5" s="28"/>
      <c r="B5" s="5" t="s">
        <v>1</v>
      </c>
      <c r="C5" s="9" t="s">
        <v>41</v>
      </c>
      <c r="D5" s="5">
        <v>4</v>
      </c>
      <c r="E5" s="12">
        <v>9</v>
      </c>
      <c r="F5" s="5">
        <v>4</v>
      </c>
      <c r="G5" s="5">
        <v>4</v>
      </c>
      <c r="H5" s="5">
        <v>4</v>
      </c>
      <c r="I5" s="5">
        <v>4</v>
      </c>
      <c r="J5" s="5">
        <v>9</v>
      </c>
      <c r="K5" s="5">
        <v>13</v>
      </c>
    </row>
    <row r="6" spans="1:11" ht="16.5" customHeight="1" thickBot="1" x14ac:dyDescent="0.35">
      <c r="A6" s="29"/>
      <c r="B6" s="6" t="s">
        <v>2</v>
      </c>
      <c r="C6" s="10" t="s">
        <v>42</v>
      </c>
      <c r="D6" s="6">
        <v>9</v>
      </c>
      <c r="E6" s="13">
        <v>4</v>
      </c>
      <c r="F6" s="6">
        <v>4</v>
      </c>
      <c r="G6" s="6">
        <v>4</v>
      </c>
      <c r="H6" s="6">
        <v>4</v>
      </c>
      <c r="I6" s="16">
        <v>1</v>
      </c>
      <c r="J6" s="16">
        <v>13</v>
      </c>
      <c r="K6" s="6">
        <v>9</v>
      </c>
    </row>
    <row r="8" spans="1:11" x14ac:dyDescent="0.25">
      <c r="A8" t="s">
        <v>35</v>
      </c>
      <c r="B8">
        <f>SUM(D4:K6)/24</f>
        <v>7.375</v>
      </c>
    </row>
    <row r="9" spans="1:11" x14ac:dyDescent="0.25">
      <c r="A9" t="s">
        <v>33</v>
      </c>
      <c r="B9">
        <f>MIN(D4:K6)</f>
        <v>1</v>
      </c>
    </row>
    <row r="10" spans="1:11" x14ac:dyDescent="0.25">
      <c r="A10" t="s">
        <v>34</v>
      </c>
      <c r="B10">
        <f>MAX(D4:K6)</f>
        <v>17</v>
      </c>
    </row>
  </sheetData>
  <mergeCells count="5">
    <mergeCell ref="D2:E2"/>
    <mergeCell ref="F2:G2"/>
    <mergeCell ref="H2:I2"/>
    <mergeCell ref="J2:K2"/>
    <mergeCell ref="A4:A6"/>
  </mergeCells>
  <conditionalFormatting sqref="D4:K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abSelected="1" workbookViewId="0">
      <selection activeCell="C10" sqref="C10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9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  <c r="F1" t="s">
        <v>43</v>
      </c>
    </row>
    <row r="2" spans="1:11" ht="15.75" thickBot="1" x14ac:dyDescent="0.3">
      <c r="D2" s="23" t="s">
        <v>6</v>
      </c>
      <c r="E2" s="24"/>
      <c r="F2" s="23" t="s">
        <v>7</v>
      </c>
      <c r="G2" s="24"/>
      <c r="H2" s="30" t="s">
        <v>9</v>
      </c>
      <c r="I2" s="31"/>
      <c r="J2" s="31" t="s">
        <v>15</v>
      </c>
      <c r="K2" s="31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7" t="s">
        <v>38</v>
      </c>
      <c r="B4" s="4" t="s">
        <v>16</v>
      </c>
      <c r="C4" s="8" t="s">
        <v>40</v>
      </c>
      <c r="D4" s="4">
        <v>3.85</v>
      </c>
      <c r="E4" s="11">
        <v>6.39</v>
      </c>
      <c r="F4" s="4">
        <v>9.32</v>
      </c>
      <c r="G4" s="4">
        <v>6.35</v>
      </c>
      <c r="H4" s="4">
        <v>9.35</v>
      </c>
      <c r="I4" s="4">
        <v>10.42</v>
      </c>
      <c r="J4" s="4">
        <v>3.45</v>
      </c>
      <c r="K4" s="4">
        <v>6.54</v>
      </c>
    </row>
    <row r="5" spans="1:11" ht="16.5" customHeight="1" x14ac:dyDescent="0.25">
      <c r="A5" s="28"/>
      <c r="B5" s="5" t="s">
        <v>1</v>
      </c>
      <c r="C5" s="9" t="s">
        <v>41</v>
      </c>
      <c r="D5" s="5">
        <v>5.13</v>
      </c>
      <c r="E5" s="12">
        <v>7.3</v>
      </c>
      <c r="F5" s="5">
        <v>6.25</v>
      </c>
      <c r="G5" s="5">
        <v>6.16</v>
      </c>
      <c r="H5" s="5">
        <v>5.62</v>
      </c>
      <c r="I5" s="5">
        <v>6.98</v>
      </c>
      <c r="J5" s="5">
        <v>7.04</v>
      </c>
      <c r="K5" s="5">
        <v>16.489999999999998</v>
      </c>
    </row>
    <row r="6" spans="1:11" ht="16.5" customHeight="1" thickBot="1" x14ac:dyDescent="0.3">
      <c r="A6" s="29"/>
      <c r="B6" s="6" t="s">
        <v>2</v>
      </c>
      <c r="C6" s="10" t="s">
        <v>42</v>
      </c>
      <c r="D6" s="6">
        <v>8.34</v>
      </c>
      <c r="E6" s="13">
        <v>6.26</v>
      </c>
      <c r="F6" s="6">
        <v>7.06</v>
      </c>
      <c r="G6" s="6">
        <v>9.41</v>
      </c>
      <c r="H6" s="6">
        <v>7.36</v>
      </c>
      <c r="I6" s="6">
        <v>2.08</v>
      </c>
      <c r="J6" s="6">
        <v>9.2200000000000006</v>
      </c>
      <c r="K6" s="6">
        <v>7.43</v>
      </c>
    </row>
    <row r="9" spans="1:11" x14ac:dyDescent="0.25">
      <c r="A9" t="s">
        <v>19</v>
      </c>
      <c r="C9" s="1" t="s">
        <v>27</v>
      </c>
      <c r="D9" t="s">
        <v>28</v>
      </c>
      <c r="E9" t="s">
        <v>32</v>
      </c>
      <c r="F9">
        <f>MEDIAN(D4:K6)</f>
        <v>7.01</v>
      </c>
    </row>
    <row r="10" spans="1:11" x14ac:dyDescent="0.25">
      <c r="E10" t="s">
        <v>33</v>
      </c>
      <c r="F10">
        <f>MIN(D4:K6)</f>
        <v>2.08</v>
      </c>
    </row>
    <row r="11" spans="1:11" x14ac:dyDescent="0.25">
      <c r="E11" t="s">
        <v>34</v>
      </c>
      <c r="F11">
        <f>MAX(D4:K6)</f>
        <v>16.489999999999998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eval run syntax</vt:lpstr>
      <vt:lpstr>eval run redundancy</vt:lpstr>
      <vt:lpstr>eval run correctness</vt:lpstr>
      <vt:lpstr>sizes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from_atom3.py_import_atom3 from_atom3.py_import_atom3</cp:lastModifiedBy>
  <dcterms:created xsi:type="dcterms:W3CDTF">2025-11-20T13:59:16Z</dcterms:created>
  <dcterms:modified xsi:type="dcterms:W3CDTF">2026-03-11T19:55:53Z</dcterms:modified>
</cp:coreProperties>
</file>